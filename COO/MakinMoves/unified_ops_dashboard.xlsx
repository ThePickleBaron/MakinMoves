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Checklist" sheetId="2" state="visible" r:id="rId4"/>
    <sheet name="Weekly Review" sheetId="3" state="visible" r:id="rId5"/>
    <sheet name="Alert Threshol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<sst xmlns="http://schemas.openxmlformats.org/spreadsheetml/2006/main" count="271" uniqueCount="195">
  <si>
    <t xml:space="preserve">MakinMoves — Unified Operations Dashboard</t>
  </si>
  <si>
    <t xml:space="preserve">Updated: [DATE] | All 3 revenue streams at a glance</t>
  </si>
  <si>
    <t xml:space="preserve">📦 P1 — GUMROAD DIGITAL PRODUCTS</t>
  </si>
  <si>
    <t xml:space="preserve">Metric</t>
  </si>
  <si>
    <t xml:space="preserve">Today</t>
  </si>
  <si>
    <t xml:space="preserve">Yesterday</t>
  </si>
  <si>
    <t xml:space="preserve">Day Δ</t>
  </si>
  <si>
    <t xml:space="preserve">Week Total</t>
  </si>
  <si>
    <t xml:space="preserve">Target (Week)</t>
  </si>
  <si>
    <t xml:space="preserve">vs Target %</t>
  </si>
  <si>
    <t xml:space="preserve">Status</t>
  </si>
  <si>
    <t xml:space="preserve">Notes</t>
  </si>
  <si>
    <t xml:space="preserve">Products Live</t>
  </si>
  <si>
    <t xml:space="preserve">Units Sold</t>
  </si>
  <si>
    <t xml:space="preserve">Revenue ($)</t>
  </si>
  <si>
    <t xml:space="preserve">Net after Gumroad fees</t>
  </si>
  <si>
    <t xml:space="preserve">Email List Size</t>
  </si>
  <si>
    <t xml:space="preserve">Conversion Rate (%)</t>
  </si>
  <si>
    <t xml:space="preserve">3.0%</t>
  </si>
  <si>
    <t xml:space="preserve">Visitors → Buyers</t>
  </si>
  <si>
    <t xml:space="preserve">Customer Reviews</t>
  </si>
  <si>
    <t xml:space="preserve">Discount Uses (LAUNCH25)</t>
  </si>
  <si>
    <t xml:space="preserve">-</t>
  </si>
  <si>
    <t xml:space="preserve">50 total available</t>
  </si>
  <si>
    <t xml:space="preserve">✍️ P2 — FREELANCE WRITING SERVICE</t>
  </si>
  <si>
    <t xml:space="preserve">New Leads</t>
  </si>
  <si>
    <t xml:space="preserve">Qualified Prospects</t>
  </si>
  <si>
    <t xml:space="preserve">Active Clients</t>
  </si>
  <si>
    <t xml:space="preserve">Target by Day 3</t>
  </si>
  <si>
    <t xml:space="preserve">Pipeline Value ($)</t>
  </si>
  <si>
    <t xml:space="preserve">Total potential revenue</t>
  </si>
  <si>
    <t xml:space="preserve">MRR ($)</t>
  </si>
  <si>
    <t xml:space="preserve">Monthly recurring</t>
  </si>
  <si>
    <t xml:space="preserve">Invoices Pending ($)</t>
  </si>
  <si>
    <t xml:space="preserve">Invoices Overdue ($)</t>
  </si>
  <si>
    <t xml:space="preserve">Flag if &gt;$0</t>
  </si>
  <si>
    <t xml:space="preserve">🌐 P3 — AFFILIATE NICHE SITES</t>
  </si>
  <si>
    <t xml:space="preserve">Articles Published</t>
  </si>
  <si>
    <t xml:space="preserve">Across all 3 sites</t>
  </si>
  <si>
    <t xml:space="preserve">Site Traffic (combined)</t>
  </si>
  <si>
    <t xml:space="preserve">Affiliate Clicks</t>
  </si>
  <si>
    <t xml:space="preserve">Affiliate Revenue ($)</t>
  </si>
  <si>
    <t xml:space="preserve">Pages Indexed</t>
  </si>
  <si>
    <t xml:space="preserve">Google Search Console</t>
  </si>
  <si>
    <t xml:space="preserve">Backlinks Acquired</t>
  </si>
  <si>
    <t xml:space="preserve">Technical Issues</t>
  </si>
  <si>
    <t xml:space="preserve">Broken links, 404s, speed</t>
  </si>
  <si>
    <t xml:space="preserve">⚙️ OPERATIONAL HEALTH</t>
  </si>
  <si>
    <t xml:space="preserve">Check</t>
  </si>
  <si>
    <t xml:space="preserve">Owner</t>
  </si>
  <si>
    <t xml:space="preserve">Details</t>
  </si>
  <si>
    <t xml:space="preserve">Last Updated</t>
  </si>
  <si>
    <t xml:space="preserve">Critical path on track?</t>
  </si>
  <si>
    <t xml:space="preserve">COO</t>
  </si>
  <si>
    <t xml:space="preserve">Resource bottlenecks?</t>
  </si>
  <si>
    <t xml:space="preserve">Team blockers?</t>
  </si>
  <si>
    <t xml:space="preserve">All</t>
  </si>
  <si>
    <t xml:space="preserve">Manual workarounds active?</t>
  </si>
  <si>
    <t xml:space="preserve">CTMO</t>
  </si>
  <si>
    <t xml:space="preserve">Burn rate vs plan?</t>
  </si>
  <si>
    <t xml:space="preserve">CFO</t>
  </si>
  <si>
    <t xml:space="preserve">Unplanned issues today?</t>
  </si>
  <si>
    <t xml:space="preserve">🚨 DEVIATION ALERTS (Auto-flagged when &gt;20% off target)</t>
  </si>
  <si>
    <t xml:space="preserve">Stream</t>
  </si>
  <si>
    <t xml:space="preserve">Target</t>
  </si>
  <si>
    <t xml:space="preserve">Actual</t>
  </si>
  <si>
    <t xml:space="preserve">Deviation %</t>
  </si>
  <si>
    <t xml:space="preserve">Severity</t>
  </si>
  <si>
    <t xml:space="preserve">Action Required</t>
  </si>
  <si>
    <t xml:space="preserve">Daily Operations Update Checklist (10 min)</t>
  </si>
  <si>
    <t xml:space="preserve">TASK</t>
  </si>
  <si>
    <t xml:space="preserve">OWNER</t>
  </si>
  <si>
    <t xml:space="preserve">DONE?</t>
  </si>
  <si>
    <t xml:space="preserve">NOTES</t>
  </si>
  <si>
    <t xml:space="preserve">P1 GUMROAD (3 min)</t>
  </si>
  <si>
    <t xml:space="preserve">1</t>
  </si>
  <si>
    <t xml:space="preserve">Check Gumroad dashboard — units sold today</t>
  </si>
  <si>
    <t xml:space="preserve">☐</t>
  </si>
  <si>
    <t xml:space="preserve">2</t>
  </si>
  <si>
    <t xml:space="preserve">Update revenue in Dashboard tab</t>
  </si>
  <si>
    <t xml:space="preserve">3</t>
  </si>
  <si>
    <t xml:space="preserve">Check for customer questions/reviews</t>
  </si>
  <si>
    <t xml:space="preserve">4</t>
  </si>
  <si>
    <t xml:space="preserve">Update email list count</t>
  </si>
  <si>
    <t xml:space="preserve">P2 FREELANCE (3 min)</t>
  </si>
  <si>
    <t xml:space="preserve">5</t>
  </si>
  <si>
    <t xml:space="preserve">Check intake form for new leads</t>
  </si>
  <si>
    <t xml:space="preserve">6</t>
  </si>
  <si>
    <t xml:space="preserve">Update pipeline stages for active prospects</t>
  </si>
  <si>
    <t xml:space="preserve">7</t>
  </si>
  <si>
    <t xml:space="preserve">Check invoice payment status</t>
  </si>
  <si>
    <t xml:space="preserve">8</t>
  </si>
  <si>
    <t xml:space="preserve">Review any client communications</t>
  </si>
  <si>
    <t xml:space="preserve">P3 AFFILIATE (3 min)</t>
  </si>
  <si>
    <t xml:space="preserve">9</t>
  </si>
  <si>
    <t xml:space="preserve">Check Google Analytics — traffic by site</t>
  </si>
  <si>
    <t xml:space="preserve">10</t>
  </si>
  <si>
    <t xml:space="preserve">Check affiliate dashboards — clicks + revenue</t>
  </si>
  <si>
    <t xml:space="preserve">11</t>
  </si>
  <si>
    <t xml:space="preserve">Verify scheduled articles published</t>
  </si>
  <si>
    <t xml:space="preserve">12</t>
  </si>
  <si>
    <t xml:space="preserve">Check Search Console for indexing issues</t>
  </si>
  <si>
    <t xml:space="preserve">WRAP-UP (1 min)</t>
  </si>
  <si>
    <t xml:space="preserve">13</t>
  </si>
  <si>
    <t xml:space="preserve">Flag any deviation alerts in Dashboard</t>
  </si>
  <si>
    <t xml:space="preserve">14</t>
  </si>
  <si>
    <t xml:space="preserve">File daily standup to board/standups/</t>
  </si>
  <si>
    <t xml:space="preserve">Weekly Review Template (30 min)</t>
  </si>
  <si>
    <t xml:space="preserve">Week of: [DATE]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</si>
  <si>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</si>
  <si>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</si>
  <si>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</si>
  <si>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</si>
  <si>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</si>
  <si>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P1: Units Sold</t>
  </si>
  <si>
    <t xml:space="preserve">P1: Revenue ($)</t>
  </si>
  <si>
    <t xml:space="preserve">P1: New Email Subs</t>
  </si>
  <si>
    <t xml:space="preserve">P2: New Leads</t>
  </si>
  <si>
    <t xml:space="preserve">P2: Clients Closed</t>
  </si>
  <si>
    <t xml:space="preserve">P2: Revenue ($)</t>
  </si>
  <si>
    <t xml:space="preserve">P3: Articles Published</t>
  </si>
  <si>
    <t xml:space="preserve">P3: Site Traffic</t>
  </si>
  <si>
    <t xml:space="preserve">P3: Affiliate Revenue ($)</t>
  </si>
  <si>
    <t xml:space="preserve">TOTAL Revenue ($)</t>
  </si>
  <si>
    <t xml:space="preserve">WEEK-OVER-WEEK TRENDS</t>
  </si>
  <si>
    <t xml:space="preserve">Last Week</t>
  </si>
  <si>
    <t xml:space="preserve">This Week</t>
  </si>
  <si>
    <t xml:space="preserve">Change</t>
  </si>
  <si>
    <t xml:space="preserve">Change %</t>
  </si>
  <si>
    <t xml:space="preserve">Trend</t>
  </si>
  <si>
    <t xml:space="preserve">Action Needed?</t>
  </si>
  <si>
    <t xml:space="preserve">Total Revenue</t>
  </si>
  <si>
    <t xml:space="preserve">Total Units/Clients</t>
  </si>
  <si>
    <t xml:space="preserve">Total Traffic</t>
  </si>
  <si>
    <t xml:space="preserve">Conversion Rate</t>
  </si>
  <si>
    <t xml:space="preserve">DECISIONS TO MAKE THIS WEEK</t>
  </si>
  <si>
    <t xml:space="preserve">Decision</t>
  </si>
  <si>
    <t xml:space="preserve">Deadline</t>
  </si>
  <si>
    <t xml:space="preserve">Options</t>
  </si>
  <si>
    <t xml:space="preserve">Chosen</t>
  </si>
  <si>
    <t xml:space="preserve">Rationale</t>
  </si>
  <si>
    <t xml:space="preserve">Deviation Alert Thresholds</t>
  </si>
  <si>
    <t xml:space="preserve">Warning (&gt;20% off)</t>
  </si>
  <si>
    <t xml:space="preserve">Critical (&gt;50% off)</t>
  </si>
  <si>
    <t xml:space="preserve">Escalate To</t>
  </si>
  <si>
    <t xml:space="preserve">Action</t>
  </si>
  <si>
    <t xml:space="preserve">P1</t>
  </si>
  <si>
    <t xml:space="preserve">Daily Revenue</t>
  </si>
  <si>
    <t xml:space="preserve">&lt;$10/day by Day 3</t>
  </si>
  <si>
    <t xml:space="preserve">&lt;$5/day by Day 5</t>
  </si>
  <si>
    <t xml:space="preserve">CEO</t>
  </si>
  <si>
    <t xml:space="preserve">Adjust pricing or messaging</t>
  </si>
  <si>
    <t xml:space="preserve">&lt;2% after 100 visitors</t>
  </si>
  <si>
    <t xml:space="preserve">&lt;1% after 200 visitors</t>
  </si>
  <si>
    <t xml:space="preserve">COO+CEO</t>
  </si>
  <si>
    <t xml:space="preserve">A/B test product page</t>
  </si>
  <si>
    <t xml:space="preserve">Email List Growth</t>
  </si>
  <si>
    <t xml:space="preserve">&lt;10 subs/day by Day 3</t>
  </si>
  <si>
    <t xml:space="preserve">&lt;5 subs/day by Day 5</t>
  </si>
  <si>
    <t xml:space="preserve">Add lead magnet</t>
  </si>
  <si>
    <t xml:space="preserve">P2</t>
  </si>
  <si>
    <t xml:space="preserve">Lead Generation</t>
  </si>
  <si>
    <t xml:space="preserve">&lt;1 lead/day by Day 5</t>
  </si>
  <si>
    <t xml:space="preserve">0 leads by Day 7</t>
  </si>
  <si>
    <t xml:space="preserve">Pivot outreach strategy</t>
  </si>
  <si>
    <t xml:space="preserve">Client Close Rate</t>
  </si>
  <si>
    <t xml:space="preserve">&lt;25% of qualified leads</t>
  </si>
  <si>
    <t xml:space="preserve">&lt;10% of qualified leads</t>
  </si>
  <si>
    <t xml:space="preserve">Review pricing/offer</t>
  </si>
  <si>
    <t xml:space="preserve">Invoice Collection</t>
  </si>
  <si>
    <t xml:space="preserve">Any invoice &gt;7 days late</t>
  </si>
  <si>
    <t xml:space="preserve">Any invoice &gt;14 days late</t>
  </si>
  <si>
    <t xml:space="preserve">Payment follow-up sequence</t>
  </si>
  <si>
    <t xml:space="preserve">P3</t>
  </si>
  <si>
    <t xml:space="preserve">Content Velocity</t>
  </si>
  <si>
    <t xml:space="preserve">&lt;2 articles/week</t>
  </si>
  <si>
    <t xml:space="preserve">&lt;1 article/week</t>
  </si>
  <si>
    <t xml:space="preserve">Hire writer or simplify</t>
  </si>
  <si>
    <t xml:space="preserve">Traffic Growth</t>
  </si>
  <si>
    <t xml:space="preserve">&lt;50 visits/day by Week 2</t>
  </si>
  <si>
    <t xml:space="preserve">&lt;20 visits/day by Week 3</t>
  </si>
  <si>
    <t xml:space="preserve">SEO audit + content refresh</t>
  </si>
  <si>
    <t xml:space="preserve">Indexation</t>
  </si>
  <si>
    <t xml:space="preserve">&lt;50% pages indexed by Week 2</t>
  </si>
  <si>
    <t xml:space="preserve">&lt;25% by Week 3</t>
  </si>
  <si>
    <t xml:space="preserve">Technical SEO fix</t>
  </si>
  <si>
    <t xml:space="preserve">ALL</t>
  </si>
  <si>
    <t xml:space="preserve">Total Weekly Revenue</t>
  </si>
  <si>
    <t xml:space="preserve">&lt;$100/week by Week 2</t>
  </si>
  <si>
    <t xml:space="preserve">&lt;$50/week by Week 3</t>
  </si>
  <si>
    <t xml:space="preserve">Strategic review of all streams</t>
  </si>
  <si>
    <t xml:space="preserve">Burn Rate</t>
  </si>
  <si>
    <t xml:space="preserve">Spending &gt;$50/week on tools</t>
  </si>
  <si>
    <t xml:space="preserve">Spending &gt;$100/week</t>
  </si>
  <si>
    <t xml:space="preserve">Cost audit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</si>
</sst>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3"/>
      <color rgb="FFC628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5AA0"/>
        <bgColor rgb="FF333399"/>
      </patternFill>
    </fill>
    <fill>
      <patternFill patternType="solid">
        <fgColor rgb="FF1B2A4A"/>
        <bgColor rgb="FF003366"/>
      </patternFill>
    </fill>
    <fill>
      <patternFill patternType="solid">
        <fgColor rgb="FFC62828"/>
        <bgColor rgb="FF993366"/>
      </patternFill>
    </fill>
    <fill>
      <patternFill patternType="solid">
        <fgColor rgb="FFE65100"/>
        <bgColor rgb="FFC628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652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D5A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5"/>
      <c r="C6" s="5"/>
      <c r="D6" s="5" t="n">
        <f aca="false">B6-C6</f>
        <v>0</v>
      </c>
      <c r="E6" s="5"/>
      <c r="F6" s="5" t="n">
        <v>5</v>
      </c>
      <c r="G6" s="6" t="n">
        <f aca="false">IF(F6=0,"-",E6/F6)</f>
        <v>0</v>
      </c>
      <c r="H6" s="5" t="str">
        <f aca="false">IF(G6="-","—",IF(G6&gt;=1,"✅",IF(G6&gt;=0.7,"⚠️","🔴")))</f>
        <v>🔴</v>
      </c>
      <c r="I6" s="5"/>
    </row>
    <row r="7" customFormat="false" ht="15" hidden="false" customHeight="false" outlineLevel="0" collapsed="false">
      <c r="A7" s="5" t="s">
        <v>13</v>
      </c>
      <c r="B7" s="5"/>
      <c r="C7" s="5"/>
      <c r="D7" s="5" t="n">
        <f aca="false">B7-C7</f>
        <v>0</v>
      </c>
      <c r="E7" s="5"/>
      <c r="F7" s="5" t="n">
        <v>3</v>
      </c>
      <c r="G7" s="6" t="n">
        <f aca="false">IF(F7=0,"-",E7/F7)</f>
        <v>0</v>
      </c>
      <c r="H7" s="5" t="str">
        <f aca="false">IF(G7="-","—",IF(G7&gt;=1,"✅",IF(G7&gt;=0.7,"⚠️","🔴")))</f>
        <v>🔴</v>
      </c>
      <c r="I7" s="5"/>
    </row>
    <row r="8" customFormat="false" ht="15" hidden="false" customHeight="false" outlineLevel="0" collapsed="false">
      <c r="A8" s="5" t="s">
        <v>14</v>
      </c>
      <c r="B8" s="5"/>
      <c r="C8" s="5"/>
      <c r="D8" s="5" t="n">
        <f aca="false">B8-C8</f>
        <v>0</v>
      </c>
      <c r="E8" s="5"/>
      <c r="F8" s="5" t="n">
        <v>75</v>
      </c>
      <c r="G8" s="6" t="n">
        <f aca="false">IF(F8=0,"-",E8/F8)</f>
        <v>0</v>
      </c>
      <c r="H8" s="5" t="str">
        <f aca="false">IF(G8="-","—",IF(G8&gt;=1,"✅",IF(G8&gt;=0.7,"⚠️","🔴")))</f>
        <v>🔴</v>
      </c>
      <c r="I8" s="5" t="s">
        <v>15</v>
      </c>
    </row>
    <row r="9" customFormat="false" ht="15" hidden="false" customHeight="false" outlineLevel="0" collapsed="false">
      <c r="A9" s="5" t="s">
        <v>16</v>
      </c>
      <c r="B9" s="5"/>
      <c r="C9" s="5"/>
      <c r="D9" s="5" t="n">
        <f aca="false">B9-C9</f>
        <v>0</v>
      </c>
      <c r="E9" s="5"/>
      <c r="F9" s="5" t="n">
        <v>50</v>
      </c>
      <c r="G9" s="6" t="n">
        <f aca="false">IF(F9=0,"-",E9/F9)</f>
        <v>0</v>
      </c>
      <c r="H9" s="5" t="str">
        <f aca="false">IF(G9="-","—",IF(G9&gt;=1,"✅",IF(G9&gt;=0.7,"⚠️","🔴")))</f>
        <v>🔴</v>
      </c>
      <c r="I9" s="5"/>
    </row>
    <row r="10" customFormat="false" ht="15" hidden="false" customHeight="false" outlineLevel="0" collapsed="false">
      <c r="A10" s="5" t="s">
        <v>17</v>
      </c>
      <c r="B10" s="5"/>
      <c r="C10" s="5"/>
      <c r="D10" s="5" t="n">
        <f aca="false">B10-C10</f>
        <v>0</v>
      </c>
      <c r="E10" s="5"/>
      <c r="F10" s="5" t="s">
        <v>18</v>
      </c>
      <c r="G10" s="6" t="n">
        <f aca="false">IF(F10=0,"-",E10/F10)</f>
        <v>0</v>
      </c>
      <c r="H10" s="5" t="str">
        <f aca="false">IF(G10="-","—",IF(G10&gt;=1,"✅",IF(G10&gt;=0.7,"⚠️","🔴")))</f>
        <v>🔴</v>
      </c>
      <c r="I10" s="5" t="s">
        <v>19</v>
      </c>
    </row>
    <row r="11" customFormat="false" ht="15" hidden="false" customHeight="false" outlineLevel="0" collapsed="false">
      <c r="A11" s="5" t="s">
        <v>20</v>
      </c>
      <c r="B11" s="5"/>
      <c r="C11" s="5"/>
      <c r="D11" s="5" t="n">
        <f aca="false">B11-C11</f>
        <v>0</v>
      </c>
      <c r="E11" s="5"/>
      <c r="F11" s="5" t="n">
        <v>2</v>
      </c>
      <c r="G11" s="6" t="n">
        <f aca="false">IF(F11=0,"-",E11/F11)</f>
        <v>0</v>
      </c>
      <c r="H11" s="5" t="str">
        <f aca="false">IF(G11="-","—",IF(G11&gt;=1,"✅",IF(G11&gt;=0.7,"⚠️","🔴")))</f>
        <v>🔴</v>
      </c>
      <c r="I11" s="5"/>
    </row>
    <row r="12" customFormat="false" ht="15" hidden="false" customHeight="false" outlineLevel="0" collapsed="false">
      <c r="A12" s="5" t="s">
        <v>21</v>
      </c>
      <c r="B12" s="5"/>
      <c r="C12" s="5"/>
      <c r="D12" s="5" t="n">
        <f aca="false">B12-C12</f>
        <v>0</v>
      </c>
      <c r="E12" s="5"/>
      <c r="F12" s="5" t="s">
        <v>22</v>
      </c>
      <c r="G12" s="5"/>
      <c r="H12" s="5" t="str">
        <f aca="false">IF(G12="-","—",IF(G12&gt;=1,"✅",IF(G12&gt;=0.7,"⚠️","🔴")))</f>
        <v>🔴</v>
      </c>
      <c r="I12" s="5" t="s">
        <v>23</v>
      </c>
    </row>
    <row r="14" customFormat="false" ht="15" hidden="false" customHeight="true" outlineLevel="0" collapsed="false">
      <c r="A14" s="3" t="s">
        <v>24</v>
      </c>
      <c r="B14" s="3"/>
      <c r="C14" s="3"/>
      <c r="D14" s="3"/>
      <c r="E14" s="3"/>
      <c r="F14" s="3"/>
      <c r="G14" s="3"/>
      <c r="H14" s="3"/>
      <c r="I14" s="3"/>
    </row>
    <row r="15" customFormat="false" ht="26.85" hidden="false" customHeight="false" outlineLevel="0" collapsed="false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</row>
    <row r="16" customFormat="false" ht="15" hidden="false" customHeight="false" outlineLevel="0" collapsed="false">
      <c r="A16" s="5" t="s">
        <v>25</v>
      </c>
      <c r="B16" s="5"/>
      <c r="C16" s="5"/>
      <c r="D16" s="5" t="n">
        <f aca="false">B16-C16</f>
        <v>0</v>
      </c>
      <c r="E16" s="5"/>
      <c r="F16" s="5" t="n">
        <v>2</v>
      </c>
      <c r="G16" s="6" t="n">
        <f aca="false">IF(F16=0,"-",E16/F16)</f>
        <v>0</v>
      </c>
      <c r="H16" s="5" t="str">
        <f aca="false">IF(G16="-","—",IF(G16&gt;=1,"✅",IF(G16&gt;=0.7,"⚠️","🔴")))</f>
        <v>🔴</v>
      </c>
      <c r="I16" s="5"/>
    </row>
    <row r="17" customFormat="false" ht="15" hidden="false" customHeight="false" outlineLevel="0" collapsed="false">
      <c r="A17" s="5" t="s">
        <v>26</v>
      </c>
      <c r="B17" s="5"/>
      <c r="C17" s="5"/>
      <c r="D17" s="5" t="n">
        <f aca="false">B17-C17</f>
        <v>0</v>
      </c>
      <c r="E17" s="5"/>
      <c r="F17" s="5" t="n">
        <v>1</v>
      </c>
      <c r="G17" s="6" t="n">
        <f aca="false">IF(F17=0,"-",E17/F17)</f>
        <v>0</v>
      </c>
      <c r="H17" s="5" t="str">
        <f aca="false">IF(G17="-","—",IF(G17&gt;=1,"✅",IF(G17&gt;=0.7,"⚠️","🔴")))</f>
        <v>🔴</v>
      </c>
      <c r="I17" s="5"/>
    </row>
    <row r="18" customFormat="false" ht="15" hidden="false" customHeight="false" outlineLevel="0" collapsed="false">
      <c r="A18" s="5" t="s">
        <v>27</v>
      </c>
      <c r="B18" s="5"/>
      <c r="C18" s="5"/>
      <c r="D18" s="5" t="n">
        <f aca="false">B18-C18</f>
        <v>0</v>
      </c>
      <c r="E18" s="5"/>
      <c r="F18" s="5" t="n">
        <v>1</v>
      </c>
      <c r="G18" s="6" t="n">
        <f aca="false">IF(F18=0,"-",E18/F18)</f>
        <v>0</v>
      </c>
      <c r="H18" s="5" t="str">
        <f aca="false">IF(G18="-","—",IF(G18&gt;=1,"✅",IF(G18&gt;=0.7,"⚠️","🔴")))</f>
        <v>🔴</v>
      </c>
      <c r="I18" s="5" t="s">
        <v>28</v>
      </c>
    </row>
    <row r="19" customFormat="false" ht="15" hidden="false" customHeight="false" outlineLevel="0" collapsed="false">
      <c r="A19" s="5" t="s">
        <v>29</v>
      </c>
      <c r="B19" s="5"/>
      <c r="C19" s="5"/>
      <c r="D19" s="5" t="n">
        <f aca="false">B19-C19</f>
        <v>0</v>
      </c>
      <c r="E19" s="5"/>
      <c r="F19" s="5" t="n">
        <v>2400</v>
      </c>
      <c r="G19" s="6" t="n">
        <f aca="false">IF(F19=0,"-",E19/F19)</f>
        <v>0</v>
      </c>
      <c r="H19" s="5" t="str">
        <f aca="false">IF(G19="-","—",IF(G19&gt;=1,"✅",IF(G19&gt;=0.7,"⚠️","🔴")))</f>
        <v>🔴</v>
      </c>
      <c r="I19" s="5" t="s">
        <v>30</v>
      </c>
    </row>
    <row r="20" customFormat="false" ht="15" hidden="false" customHeight="false" outlineLevel="0" collapsed="false">
      <c r="A20" s="5" t="s">
        <v>31</v>
      </c>
      <c r="B20" s="5"/>
      <c r="C20" s="5"/>
      <c r="D20" s="5" t="n">
        <f aca="false">B20-C20</f>
        <v>0</v>
      </c>
      <c r="E20" s="5"/>
      <c r="F20" s="5" t="n">
        <v>1200</v>
      </c>
      <c r="G20" s="6" t="n">
        <f aca="false">IF(F20=0,"-",E20/F20)</f>
        <v>0</v>
      </c>
      <c r="H20" s="5" t="str">
        <f aca="false">IF(G20="-","—",IF(G20&gt;=1,"✅",IF(G20&gt;=0.7,"⚠️","🔴")))</f>
        <v>🔴</v>
      </c>
      <c r="I20" s="5" t="s">
        <v>32</v>
      </c>
    </row>
    <row r="21" customFormat="false" ht="15" hidden="false" customHeight="false" outlineLevel="0" collapsed="false">
      <c r="A21" s="5" t="s">
        <v>33</v>
      </c>
      <c r="B21" s="5"/>
      <c r="C21" s="5"/>
      <c r="D21" s="5" t="n">
        <f aca="false">B21-C21</f>
        <v>0</v>
      </c>
      <c r="E21" s="5"/>
      <c r="F21" s="5" t="s">
        <v>22</v>
      </c>
      <c r="G21" s="5"/>
      <c r="H21" s="5" t="str">
        <f aca="false">IF(G21="-","—",IF(G21&gt;=1,"✅",IF(G21&gt;=0.7,"⚠️","🔴")))</f>
        <v>🔴</v>
      </c>
      <c r="I21" s="5"/>
    </row>
    <row r="22" customFormat="false" ht="15" hidden="false" customHeight="false" outlineLevel="0" collapsed="false">
      <c r="A22" s="5" t="s">
        <v>34</v>
      </c>
      <c r="B22" s="5"/>
      <c r="C22" s="5"/>
      <c r="D22" s="5" t="n">
        <f aca="false">B22-C22</f>
        <v>0</v>
      </c>
      <c r="E22" s="5"/>
      <c r="F22" s="5" t="s">
        <v>22</v>
      </c>
      <c r="G22" s="5"/>
      <c r="H22" s="5" t="str">
        <f aca="false">IF(G22="-","—",IF(G22&gt;=1,"✅",IF(G22&gt;=0.7,"⚠️","🔴")))</f>
        <v>🔴</v>
      </c>
      <c r="I22" s="5" t="s">
        <v>35</v>
      </c>
    </row>
    <row r="24" customFormat="false" ht="15" hidden="false" customHeight="true" outlineLevel="0" collapsed="false">
      <c r="A24" s="3" t="s">
        <v>36</v>
      </c>
      <c r="B24" s="3"/>
      <c r="C24" s="3"/>
      <c r="D24" s="3"/>
      <c r="E24" s="3"/>
      <c r="F24" s="3"/>
      <c r="G24" s="3"/>
      <c r="H24" s="3"/>
      <c r="I24" s="3"/>
    </row>
    <row r="25" customFormat="false" ht="26.85" hidden="false" customHeight="false" outlineLevel="0" collapsed="false">
      <c r="A25" s="4" t="s">
        <v>3</v>
      </c>
      <c r="B25" s="4" t="s">
        <v>4</v>
      </c>
      <c r="C25" s="4" t="s">
        <v>5</v>
      </c>
      <c r="D25" s="4" t="s">
        <v>6</v>
      </c>
      <c r="E25" s="4" t="s">
        <v>7</v>
      </c>
      <c r="F25" s="4" t="s">
        <v>8</v>
      </c>
      <c r="G25" s="4" t="s">
        <v>9</v>
      </c>
      <c r="H25" s="4" t="s">
        <v>10</v>
      </c>
      <c r="I25" s="4" t="s">
        <v>11</v>
      </c>
    </row>
    <row r="26" customFormat="false" ht="15" hidden="false" customHeight="false" outlineLevel="0" collapsed="false">
      <c r="A26" s="5" t="s">
        <v>37</v>
      </c>
      <c r="B26" s="5"/>
      <c r="C26" s="5"/>
      <c r="D26" s="5" t="n">
        <f aca="false">B26-C26</f>
        <v>0</v>
      </c>
      <c r="E26" s="5"/>
      <c r="F26" s="5" t="n">
        <v>2</v>
      </c>
      <c r="G26" s="6" t="n">
        <f aca="false">IF(F26=0,"-",E26/F26)</f>
        <v>0</v>
      </c>
      <c r="H26" s="5" t="str">
        <f aca="false">IF(G26="-","—",IF(G26&gt;=1,"✅",IF(G26&gt;=0.7,"⚠️","🔴")))</f>
        <v>🔴</v>
      </c>
      <c r="I26" s="5" t="s">
        <v>38</v>
      </c>
    </row>
    <row r="27" customFormat="false" ht="15" hidden="false" customHeight="false" outlineLevel="0" collapsed="false">
      <c r="A27" s="5" t="s">
        <v>39</v>
      </c>
      <c r="B27" s="5"/>
      <c r="C27" s="5"/>
      <c r="D27" s="5" t="n">
        <f aca="false">B27-C27</f>
        <v>0</v>
      </c>
      <c r="E27" s="5"/>
      <c r="F27" s="5" t="n">
        <v>100</v>
      </c>
      <c r="G27" s="6" t="n">
        <f aca="false">IF(F27=0,"-",E27/F27)</f>
        <v>0</v>
      </c>
      <c r="H27" s="5" t="str">
        <f aca="false">IF(G27="-","—",IF(G27&gt;=1,"✅",IF(G27&gt;=0.7,"⚠️","🔴")))</f>
        <v>🔴</v>
      </c>
      <c r="I27" s="5"/>
    </row>
    <row r="28" customFormat="false" ht="15" hidden="false" customHeight="false" outlineLevel="0" collapsed="false">
      <c r="A28" s="5" t="s">
        <v>40</v>
      </c>
      <c r="B28" s="5"/>
      <c r="C28" s="5"/>
      <c r="D28" s="5" t="n">
        <f aca="false">B28-C28</f>
        <v>0</v>
      </c>
      <c r="E28" s="5"/>
      <c r="F28" s="5" t="n">
        <v>5</v>
      </c>
      <c r="G28" s="6" t="n">
        <f aca="false">IF(F28=0,"-",E28/F28)</f>
        <v>0</v>
      </c>
      <c r="H28" s="5" t="str">
        <f aca="false">IF(G28="-","—",IF(G28&gt;=1,"✅",IF(G28&gt;=0.7,"⚠️","🔴")))</f>
        <v>🔴</v>
      </c>
      <c r="I28" s="5"/>
    </row>
    <row r="29" customFormat="false" ht="15" hidden="false" customHeight="false" outlineLevel="0" collapsed="false">
      <c r="A29" s="5" t="s">
        <v>41</v>
      </c>
      <c r="B29" s="5"/>
      <c r="C29" s="5"/>
      <c r="D29" s="5" t="n">
        <f aca="false">B29-C29</f>
        <v>0</v>
      </c>
      <c r="E29" s="5"/>
      <c r="F29" s="5" t="n">
        <v>10</v>
      </c>
      <c r="G29" s="6" t="n">
        <f aca="false">IF(F29=0,"-",E29/F29)</f>
        <v>0</v>
      </c>
      <c r="H29" s="5" t="str">
        <f aca="false">IF(G29="-","—",IF(G29&gt;=1,"✅",IF(G29&gt;=0.7,"⚠️","🔴")))</f>
        <v>🔴</v>
      </c>
      <c r="I29" s="5"/>
    </row>
    <row r="30" customFormat="false" ht="15" hidden="false" customHeight="false" outlineLevel="0" collapsed="false">
      <c r="A30" s="5" t="s">
        <v>42</v>
      </c>
      <c r="B30" s="5"/>
      <c r="C30" s="5"/>
      <c r="D30" s="5" t="n">
        <f aca="false">B30-C30</f>
        <v>0</v>
      </c>
      <c r="E30" s="5"/>
      <c r="F30" s="5" t="n">
        <v>10</v>
      </c>
      <c r="G30" s="6" t="n">
        <f aca="false">IF(F30=0,"-",E30/F30)</f>
        <v>0</v>
      </c>
      <c r="H30" s="5" t="str">
        <f aca="false">IF(G30="-","—",IF(G30&gt;=1,"✅",IF(G30&gt;=0.7,"⚠️","🔴")))</f>
        <v>🔴</v>
      </c>
      <c r="I30" s="5" t="s">
        <v>43</v>
      </c>
    </row>
    <row r="31" customFormat="false" ht="15" hidden="false" customHeight="false" outlineLevel="0" collapsed="false">
      <c r="A31" s="5" t="s">
        <v>44</v>
      </c>
      <c r="B31" s="5"/>
      <c r="C31" s="5"/>
      <c r="D31" s="5" t="n">
        <f aca="false">B31-C31</f>
        <v>0</v>
      </c>
      <c r="E31" s="5"/>
      <c r="F31" s="5" t="n">
        <v>2</v>
      </c>
      <c r="G31" s="6" t="n">
        <f aca="false">IF(F31=0,"-",E31/F31)</f>
        <v>0</v>
      </c>
      <c r="H31" s="5" t="str">
        <f aca="false">IF(G31="-","—",IF(G31&gt;=1,"✅",IF(G31&gt;=0.7,"⚠️","🔴")))</f>
        <v>🔴</v>
      </c>
      <c r="I31" s="5"/>
    </row>
    <row r="32" customFormat="false" ht="15" hidden="false" customHeight="false" outlineLevel="0" collapsed="false">
      <c r="A32" s="5" t="s">
        <v>45</v>
      </c>
      <c r="B32" s="5"/>
      <c r="C32" s="5"/>
      <c r="D32" s="5" t="n">
        <f aca="false">B32-C32</f>
        <v>0</v>
      </c>
      <c r="E32" s="5"/>
      <c r="F32" s="5" t="n">
        <v>0</v>
      </c>
      <c r="G32" s="5"/>
      <c r="H32" s="5" t="str">
        <f aca="false">IF(G32="-","—",IF(G32&gt;=1,"✅",IF(G32&gt;=0.7,"⚠️","🔴")))</f>
        <v>🔴</v>
      </c>
      <c r="I32" s="5" t="s">
        <v>46</v>
      </c>
    </row>
    <row r="34" customFormat="false" ht="15" hidden="false" customHeight="true" outlineLevel="0" collapsed="false">
      <c r="A34" s="3" t="s">
        <v>47</v>
      </c>
      <c r="B34" s="3"/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4" t="s">
        <v>48</v>
      </c>
      <c r="B35" s="4" t="s">
        <v>10</v>
      </c>
      <c r="C35" s="4" t="s">
        <v>49</v>
      </c>
      <c r="D35" s="4" t="s">
        <v>50</v>
      </c>
      <c r="E35" s="4" t="s">
        <v>51</v>
      </c>
      <c r="F35" s="4"/>
      <c r="G35" s="4"/>
      <c r="H35" s="4"/>
      <c r="I35" s="4"/>
    </row>
    <row r="36" customFormat="false" ht="15" hidden="false" customHeight="false" outlineLevel="0" collapsed="false">
      <c r="A36" s="5" t="s">
        <v>52</v>
      </c>
      <c r="B36" s="5"/>
      <c r="C36" s="5" t="s">
        <v>53</v>
      </c>
      <c r="D36" s="5"/>
      <c r="E36" s="5"/>
    </row>
    <row r="37" customFormat="false" ht="15" hidden="false" customHeight="false" outlineLevel="0" collapsed="false">
      <c r="A37" s="5" t="s">
        <v>54</v>
      </c>
      <c r="B37" s="5"/>
      <c r="C37" s="5" t="s">
        <v>53</v>
      </c>
      <c r="D37" s="5"/>
      <c r="E37" s="5"/>
    </row>
    <row r="38" customFormat="false" ht="15" hidden="false" customHeight="false" outlineLevel="0" collapsed="false">
      <c r="A38" s="5" t="s">
        <v>55</v>
      </c>
      <c r="B38" s="5"/>
      <c r="C38" s="5" t="s">
        <v>56</v>
      </c>
      <c r="D38" s="5"/>
      <c r="E38" s="5"/>
    </row>
    <row r="39" customFormat="false" ht="15" hidden="false" customHeight="false" outlineLevel="0" collapsed="false">
      <c r="A39" s="5" t="s">
        <v>57</v>
      </c>
      <c r="B39" s="5"/>
      <c r="C39" s="5" t="s">
        <v>58</v>
      </c>
      <c r="D39" s="5"/>
      <c r="E39" s="5"/>
    </row>
    <row r="40" customFormat="false" ht="15" hidden="false" customHeight="false" outlineLevel="0" collapsed="false">
      <c r="A40" s="5" t="s">
        <v>59</v>
      </c>
      <c r="B40" s="5"/>
      <c r="C40" s="5" t="s">
        <v>60</v>
      </c>
      <c r="D40" s="5"/>
      <c r="E40" s="5"/>
    </row>
    <row r="41" customFormat="false" ht="15" hidden="false" customHeight="false" outlineLevel="0" collapsed="false">
      <c r="A41" s="5" t="s">
        <v>61</v>
      </c>
      <c r="B41" s="5"/>
      <c r="C41" s="5" t="s">
        <v>53</v>
      </c>
      <c r="D41" s="5"/>
      <c r="E41" s="5"/>
    </row>
    <row r="43" customFormat="false" ht="15" hidden="false" customHeight="true" outlineLevel="0" collapsed="false">
      <c r="A43" s="7" t="s">
        <v>62</v>
      </c>
      <c r="B43" s="7"/>
      <c r="C43" s="7"/>
      <c r="D43" s="7"/>
      <c r="E43" s="7"/>
      <c r="F43" s="7"/>
      <c r="G43" s="7"/>
      <c r="H43" s="7"/>
      <c r="I43" s="7"/>
    </row>
    <row r="44" customFormat="false" ht="26.85" hidden="false" customHeight="false" outlineLevel="0" collapsed="false">
      <c r="A44" s="4" t="s">
        <v>63</v>
      </c>
      <c r="B44" s="4" t="s">
        <v>3</v>
      </c>
      <c r="C44" s="4" t="s">
        <v>64</v>
      </c>
      <c r="D44" s="4" t="s">
        <v>65</v>
      </c>
      <c r="E44" s="4" t="s">
        <v>66</v>
      </c>
      <c r="F44" s="4" t="s">
        <v>67</v>
      </c>
      <c r="G44" s="4" t="s">
        <v>68</v>
      </c>
      <c r="H44" s="4"/>
      <c r="I44" s="4"/>
    </row>
    <row r="45" customFormat="false" ht="15" hidden="false" customHeight="false" outlineLevel="0" collapsed="false">
      <c r="A45" s="5"/>
      <c r="B45" s="5"/>
      <c r="C45" s="5"/>
      <c r="D45" s="5"/>
      <c r="E45" s="6" t="str">
        <f aca="false">IF(C45=0,"-",(D45-C45)/C45)</f>
        <v>-</v>
      </c>
      <c r="F45" s="5" t="str">
        <f aca="false">IF(E45="-","",IF(ABS(E45)&gt;0.5,"CRITICAL",IF(ABS(E45)&gt;0.2,"WARNING","OK")))</f>
        <v/>
      </c>
      <c r="G45" s="5"/>
      <c r="H45" s="5"/>
      <c r="I45" s="5"/>
    </row>
    <row r="46" customFormat="false" ht="15" hidden="false" customHeight="false" outlineLevel="0" collapsed="false">
      <c r="A46" s="5"/>
      <c r="B46" s="5"/>
      <c r="C46" s="5"/>
      <c r="D46" s="5"/>
      <c r="E46" s="6" t="str">
        <f aca="false">IF(C46=0,"-",(D46-C46)/C46)</f>
        <v>-</v>
      </c>
      <c r="F46" s="5" t="str">
        <f aca="false">IF(E46="-","",IF(ABS(E46)&gt;0.5,"CRITICAL",IF(ABS(E46)&gt;0.2,"WARNING","OK")))</f>
        <v/>
      </c>
      <c r="G46" s="5"/>
      <c r="H46" s="5"/>
      <c r="I46" s="5"/>
    </row>
    <row r="47" customFormat="false" ht="15" hidden="false" customHeight="false" outlineLevel="0" collapsed="false">
      <c r="A47" s="5"/>
      <c r="B47" s="5"/>
      <c r="C47" s="5"/>
      <c r="D47" s="5"/>
      <c r="E47" s="6" t="str">
        <f aca="false">IF(C47=0,"-",(D47-C47)/C47)</f>
        <v>-</v>
      </c>
      <c r="F47" s="5" t="str">
        <f aca="false">IF(E47="-","",IF(ABS(E47)&gt;0.5,"CRITICAL",IF(ABS(E47)&gt;0.2,"WARNING","OK")))</f>
        <v/>
      </c>
      <c r="G47" s="5"/>
      <c r="H47" s="5"/>
      <c r="I47" s="5"/>
    </row>
    <row r="48" customFormat="false" ht="15" hidden="false" customHeight="false" outlineLevel="0" collapsed="false">
      <c r="A48" s="5"/>
      <c r="B48" s="5"/>
      <c r="C48" s="5"/>
      <c r="D48" s="5"/>
      <c r="E48" s="6" t="str">
        <f aca="false">IF(C48=0,"-",(D48-C48)/C48)</f>
        <v>-</v>
      </c>
      <c r="F48" s="5" t="str">
        <f aca="false">IF(E48="-","",IF(ABS(E48)&gt;0.5,"CRITICAL",IF(ABS(E48)&gt;0.2,"WARNING","OK")))</f>
        <v/>
      </c>
      <c r="G48" s="5"/>
      <c r="H48" s="5"/>
      <c r="I48" s="5"/>
    </row>
    <row r="49" customFormat="false" ht="15" hidden="false" customHeight="false" outlineLevel="0" collapsed="false">
      <c r="A49" s="5"/>
      <c r="B49" s="5"/>
      <c r="C49" s="5"/>
      <c r="D49" s="5"/>
      <c r="E49" s="6" t="str">
        <f aca="false">IF(C49=0,"-",(D49-C49)/C49)</f>
        <v>-</v>
      </c>
      <c r="F49" s="5" t="str">
        <f aca="false">IF(E49="-","",IF(ABS(E49)&gt;0.5,"CRITICAL",IF(ABS(E49)&gt;0.2,"WARNING","OK")))</f>
        <v/>
      </c>
      <c r="G49" s="5"/>
      <c r="H49" s="5"/>
      <c r="I49" s="5"/>
    </row>
  </sheetData>
  <mergeCells count="7">
    <mergeCell ref="A1:I1"/>
    <mergeCell ref="A2:I2"/>
    <mergeCell ref="A4:I4"/>
    <mergeCell ref="A14:I14"/>
    <mergeCell ref="A24:I24"/>
    <mergeCell ref="A34:I34"/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A0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4" min="3" style="0" width="12"/>
    <col collapsed="false" customWidth="true" hidden="false" outlineLevel="0" max="5" min="5" style="0" width="30"/>
  </cols>
  <sheetData>
    <row r="1" customFormat="false" ht="16.15" hidden="false" customHeight="false" outlineLevel="0" collapsed="false">
      <c r="A1" s="8" t="s">
        <v>69</v>
      </c>
      <c r="B1" s="8"/>
      <c r="C1" s="8"/>
      <c r="D1" s="8"/>
      <c r="E1" s="8"/>
    </row>
    <row r="3" customFormat="false" ht="15" hidden="false" customHeight="false" outlineLevel="0" collapsed="false">
      <c r="A3" s="4"/>
      <c r="B3" s="4" t="s">
        <v>70</v>
      </c>
      <c r="C3" s="4" t="s">
        <v>71</v>
      </c>
      <c r="D3" s="4" t="s">
        <v>72</v>
      </c>
      <c r="E3" s="4" t="s">
        <v>73</v>
      </c>
    </row>
    <row r="4" customFormat="false" ht="15" hidden="false" customHeight="false" outlineLevel="0" collapsed="false">
      <c r="A4" s="9"/>
      <c r="B4" s="9" t="s">
        <v>74</v>
      </c>
      <c r="C4" s="9"/>
      <c r="D4" s="9"/>
      <c r="E4" s="9"/>
    </row>
    <row r="5" customFormat="false" ht="15" hidden="false" customHeight="false" outlineLevel="0" collapsed="false">
      <c r="A5" s="10" t="s">
        <v>75</v>
      </c>
      <c r="B5" s="10" t="s">
        <v>76</v>
      </c>
      <c r="C5" s="10" t="s">
        <v>53</v>
      </c>
      <c r="D5" s="10" t="s">
        <v>77</v>
      </c>
      <c r="E5" s="10"/>
    </row>
    <row r="6" customFormat="false" ht="15" hidden="false" customHeight="false" outlineLevel="0" collapsed="false">
      <c r="A6" s="10" t="s">
        <v>78</v>
      </c>
      <c r="B6" s="10" t="s">
        <v>79</v>
      </c>
      <c r="C6" s="10" t="s">
        <v>53</v>
      </c>
      <c r="D6" s="10" t="s">
        <v>77</v>
      </c>
      <c r="E6" s="10"/>
    </row>
    <row r="7" customFormat="false" ht="15" hidden="false" customHeight="false" outlineLevel="0" collapsed="false">
      <c r="A7" s="10" t="s">
        <v>80</v>
      </c>
      <c r="B7" s="10" t="s">
        <v>81</v>
      </c>
      <c r="C7" s="10" t="s">
        <v>53</v>
      </c>
      <c r="D7" s="10" t="s">
        <v>77</v>
      </c>
      <c r="E7" s="10"/>
    </row>
    <row r="8" customFormat="false" ht="15" hidden="false" customHeight="false" outlineLevel="0" collapsed="false">
      <c r="A8" s="10" t="s">
        <v>82</v>
      </c>
      <c r="B8" s="10" t="s">
        <v>83</v>
      </c>
      <c r="C8" s="10" t="s">
        <v>53</v>
      </c>
      <c r="D8" s="10" t="s">
        <v>77</v>
      </c>
      <c r="E8" s="10"/>
    </row>
    <row r="9" customFormat="false" ht="15" hidden="false" customHeight="false" outlineLevel="0" collapsed="false">
      <c r="A9" s="9"/>
      <c r="B9" s="9" t="s">
        <v>84</v>
      </c>
      <c r="C9" s="9"/>
      <c r="D9" s="9"/>
      <c r="E9" s="9"/>
    </row>
    <row r="10" customFormat="false" ht="15" hidden="false" customHeight="false" outlineLevel="0" collapsed="false">
      <c r="A10" s="10" t="s">
        <v>85</v>
      </c>
      <c r="B10" s="10" t="s">
        <v>86</v>
      </c>
      <c r="C10" s="10" t="s">
        <v>53</v>
      </c>
      <c r="D10" s="10" t="s">
        <v>77</v>
      </c>
      <c r="E10" s="10"/>
    </row>
    <row r="11" customFormat="false" ht="15" hidden="false" customHeight="false" outlineLevel="0" collapsed="false">
      <c r="A11" s="10" t="s">
        <v>87</v>
      </c>
      <c r="B11" s="10" t="s">
        <v>88</v>
      </c>
      <c r="C11" s="10" t="s">
        <v>53</v>
      </c>
      <c r="D11" s="10" t="s">
        <v>77</v>
      </c>
      <c r="E11" s="10"/>
    </row>
    <row r="12" customFormat="false" ht="15" hidden="false" customHeight="false" outlineLevel="0" collapsed="false">
      <c r="A12" s="10" t="s">
        <v>89</v>
      </c>
      <c r="B12" s="10" t="s">
        <v>90</v>
      </c>
      <c r="C12" s="10" t="s">
        <v>60</v>
      </c>
      <c r="D12" s="10" t="s">
        <v>77</v>
      </c>
      <c r="E12" s="10"/>
    </row>
    <row r="13" customFormat="false" ht="15" hidden="false" customHeight="false" outlineLevel="0" collapsed="false">
      <c r="A13" s="10" t="s">
        <v>91</v>
      </c>
      <c r="B13" s="10" t="s">
        <v>92</v>
      </c>
      <c r="C13" s="10" t="s">
        <v>53</v>
      </c>
      <c r="D13" s="10" t="s">
        <v>77</v>
      </c>
      <c r="E13" s="10"/>
    </row>
    <row r="14" customFormat="false" ht="15" hidden="false" customHeight="false" outlineLevel="0" collapsed="false">
      <c r="A14" s="9"/>
      <c r="B14" s="9" t="s">
        <v>93</v>
      </c>
      <c r="C14" s="9"/>
      <c r="D14" s="9"/>
      <c r="E14" s="9"/>
    </row>
    <row r="15" customFormat="false" ht="15" hidden="false" customHeight="false" outlineLevel="0" collapsed="false">
      <c r="A15" s="10" t="s">
        <v>94</v>
      </c>
      <c r="B15" s="10" t="s">
        <v>95</v>
      </c>
      <c r="C15" s="10" t="s">
        <v>53</v>
      </c>
      <c r="D15" s="10" t="s">
        <v>77</v>
      </c>
      <c r="E15" s="10"/>
    </row>
    <row r="16" customFormat="false" ht="15" hidden="false" customHeight="false" outlineLevel="0" collapsed="false">
      <c r="A16" s="10" t="s">
        <v>96</v>
      </c>
      <c r="B16" s="10" t="s">
        <v>97</v>
      </c>
      <c r="C16" s="10" t="s">
        <v>53</v>
      </c>
      <c r="D16" s="10" t="s">
        <v>77</v>
      </c>
      <c r="E16" s="10"/>
    </row>
    <row r="17" customFormat="false" ht="15" hidden="false" customHeight="false" outlineLevel="0" collapsed="false">
      <c r="A17" s="10" t="s">
        <v>98</v>
      </c>
      <c r="B17" s="10" t="s">
        <v>99</v>
      </c>
      <c r="C17" s="10" t="s">
        <v>53</v>
      </c>
      <c r="D17" s="10" t="s">
        <v>77</v>
      </c>
      <c r="E17" s="10"/>
    </row>
    <row r="18" customFormat="false" ht="15" hidden="false" customHeight="false" outlineLevel="0" collapsed="false">
      <c r="A18" s="10" t="s">
        <v>100</v>
      </c>
      <c r="B18" s="10" t="s">
        <v>101</v>
      </c>
      <c r="C18" s="10" t="s">
        <v>58</v>
      </c>
      <c r="D18" s="10" t="s">
        <v>77</v>
      </c>
      <c r="E18" s="10"/>
    </row>
    <row r="19" customFormat="false" ht="15" hidden="false" customHeight="false" outlineLevel="0" collapsed="false">
      <c r="A19" s="9"/>
      <c r="B19" s="9" t="s">
        <v>102</v>
      </c>
      <c r="C19" s="9"/>
      <c r="D19" s="9"/>
      <c r="E19" s="9"/>
    </row>
    <row r="20" customFormat="false" ht="15" hidden="false" customHeight="false" outlineLevel="0" collapsed="false">
      <c r="A20" s="10" t="s">
        <v>103</v>
      </c>
      <c r="B20" s="10" t="s">
        <v>104</v>
      </c>
      <c r="C20" s="10" t="s">
        <v>53</v>
      </c>
      <c r="D20" s="10" t="s">
        <v>77</v>
      </c>
      <c r="E20" s="10"/>
    </row>
    <row r="21" customFormat="false" ht="15" hidden="false" customHeight="false" outlineLevel="0" collapsed="false">
      <c r="A21" s="10" t="s">
        <v>105</v>
      </c>
      <c r="B21" s="10" t="s">
        <v>106</v>
      </c>
      <c r="C21" s="10" t="s">
        <v>53</v>
      </c>
      <c r="D21" s="10" t="s">
        <v>77</v>
      </c>
      <c r="E21" s="1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652D"/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5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8" t="s">
        <v>107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11" t="s">
        <v>108</v>
      </c>
      <c r="B2" s="11"/>
      <c r="C2" s="11"/>
      <c r="D2" s="11"/>
      <c r="E2" s="11"/>
      <c r="F2" s="11"/>
      <c r="G2" s="11"/>
    </row>
    <row r="4" customFormat="false" ht="15" hidden="false" customHeight="false" outlineLevel="0" collapsed="false">
      <c r="A4" s="4" t="s">
        <v>3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7</v>
      </c>
    </row>
    <row r="5" customFormat="false" ht="15" hidden="false" customHeight="false" outlineLevel="0" collapsed="false">
      <c r="A5" s="10" t="s">
        <v>114</v>
      </c>
      <c r="B5" s="10"/>
      <c r="C5" s="10"/>
      <c r="D5" s="10"/>
      <c r="E5" s="10"/>
      <c r="F5" s="10"/>
      <c r="G5" s="10" t="n">
        <f aca="false">SUM(B5:F5)</f>
        <v>0</v>
      </c>
    </row>
    <row r="6" customFormat="false" ht="15" hidden="false" customHeight="false" outlineLevel="0" collapsed="false">
      <c r="A6" s="10" t="s">
        <v>115</v>
      </c>
      <c r="B6" s="10"/>
      <c r="C6" s="10"/>
      <c r="D6" s="10"/>
      <c r="E6" s="10"/>
      <c r="F6" s="10"/>
      <c r="G6" s="10" t="n">
        <f aca="false">SUM(B6:F6)</f>
        <v>0</v>
      </c>
    </row>
    <row r="7" customFormat="false" ht="15" hidden="false" customHeight="false" outlineLevel="0" collapsed="false">
      <c r="A7" s="10" t="s">
        <v>116</v>
      </c>
      <c r="B7" s="10"/>
      <c r="C7" s="10"/>
      <c r="D7" s="10"/>
      <c r="E7" s="10"/>
      <c r="F7" s="10"/>
      <c r="G7" s="10" t="n">
        <f aca="false">SUM(B7:F7)</f>
        <v>0</v>
      </c>
    </row>
    <row r="8" customFormat="false" ht="15" hidden="false" customHeight="false" outlineLevel="0" collapsed="false">
      <c r="A8" s="10" t="s">
        <v>117</v>
      </c>
      <c r="B8" s="10"/>
      <c r="C8" s="10"/>
      <c r="D8" s="10"/>
      <c r="E8" s="10"/>
      <c r="F8" s="10"/>
      <c r="G8" s="10" t="n">
        <f aca="false">SUM(B8:F8)</f>
        <v>0</v>
      </c>
    </row>
    <row r="9" customFormat="false" ht="15" hidden="false" customHeight="false" outlineLevel="0" collapsed="false">
      <c r="A9" s="10" t="s">
        <v>118</v>
      </c>
      <c r="B9" s="10"/>
      <c r="C9" s="10"/>
      <c r="D9" s="10"/>
      <c r="E9" s="10"/>
      <c r="F9" s="10"/>
      <c r="G9" s="10" t="n">
        <f aca="false">SUM(B9:F9)</f>
        <v>0</v>
      </c>
    </row>
    <row r="10" customFormat="false" ht="15" hidden="false" customHeight="false" outlineLevel="0" collapsed="false">
      <c r="A10" s="10" t="s">
        <v>119</v>
      </c>
      <c r="B10" s="10"/>
      <c r="C10" s="10"/>
      <c r="D10" s="10"/>
      <c r="E10" s="10"/>
      <c r="F10" s="10"/>
      <c r="G10" s="10" t="n">
        <f aca="false">SUM(B10:F10)</f>
        <v>0</v>
      </c>
    </row>
    <row r="11" customFormat="false" ht="15" hidden="false" customHeight="false" outlineLevel="0" collapsed="false">
      <c r="A11" s="10" t="s">
        <v>120</v>
      </c>
      <c r="B11" s="10"/>
      <c r="C11" s="10"/>
      <c r="D11" s="10"/>
      <c r="E11" s="10"/>
      <c r="F11" s="10"/>
      <c r="G11" s="10" t="n">
        <f aca="false">SUM(B11:F11)</f>
        <v>0</v>
      </c>
    </row>
    <row r="12" customFormat="false" ht="15" hidden="false" customHeight="false" outlineLevel="0" collapsed="false">
      <c r="A12" s="10" t="s">
        <v>121</v>
      </c>
      <c r="B12" s="10"/>
      <c r="C12" s="10"/>
      <c r="D12" s="10"/>
      <c r="E12" s="10"/>
      <c r="F12" s="10"/>
      <c r="G12" s="10" t="n">
        <f aca="false">SUM(B12:F12)</f>
        <v>0</v>
      </c>
    </row>
    <row r="13" customFormat="false" ht="15" hidden="false" customHeight="false" outlineLevel="0" collapsed="false">
      <c r="A13" s="10" t="s">
        <v>122</v>
      </c>
      <c r="B13" s="10"/>
      <c r="C13" s="10"/>
      <c r="D13" s="10"/>
      <c r="E13" s="10"/>
      <c r="F13" s="10"/>
      <c r="G13" s="10" t="n">
        <f aca="false">SUM(B13:F13)</f>
        <v>0</v>
      </c>
    </row>
    <row r="14" customFormat="false" ht="15" hidden="false" customHeight="false" outlineLevel="0" collapsed="false">
      <c r="A14" s="10" t="s">
        <v>123</v>
      </c>
      <c r="B14" s="10"/>
      <c r="C14" s="10"/>
      <c r="D14" s="10"/>
      <c r="E14" s="10"/>
      <c r="F14" s="10"/>
      <c r="G14" s="10" t="n">
        <f aca="false">SUM(B14:F14)</f>
        <v>0</v>
      </c>
    </row>
    <row r="16" customFormat="false" ht="15" hidden="false" customHeight="true" outlineLevel="0" collapsed="false">
      <c r="A16" s="3" t="s">
        <v>124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4" t="s">
        <v>3</v>
      </c>
      <c r="B17" s="4" t="s">
        <v>125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</row>
    <row r="18" customFormat="false" ht="15" hidden="false" customHeight="false" outlineLevel="0" collapsed="false">
      <c r="A18" s="10" t="s">
        <v>131</v>
      </c>
      <c r="B18" s="10"/>
      <c r="C18" s="10"/>
      <c r="D18" s="10" t="n">
        <f aca="false">C18-B18</f>
        <v>0</v>
      </c>
      <c r="E18" s="12" t="str">
        <f aca="false">IF(B18=0,"-",D18/B18)</f>
        <v>-</v>
      </c>
      <c r="F18" s="10" t="str">
        <f aca="false">IF(D18&gt;0,"📈",IF(D18&lt;0,"📉","➡️"))</f>
        <v>➡️</v>
      </c>
      <c r="G18" s="10"/>
    </row>
    <row r="19" customFormat="false" ht="15" hidden="false" customHeight="false" outlineLevel="0" collapsed="false">
      <c r="A19" s="10" t="s">
        <v>132</v>
      </c>
      <c r="B19" s="10"/>
      <c r="C19" s="10"/>
      <c r="D19" s="10" t="n">
        <f aca="false">C19-B19</f>
        <v>0</v>
      </c>
      <c r="E19" s="12" t="str">
        <f aca="false">IF(B19=0,"-",D19/B19)</f>
        <v>-</v>
      </c>
      <c r="F19" s="10" t="str">
        <f aca="false">IF(D19&gt;0,"📈",IF(D19&lt;0,"📉","➡️"))</f>
        <v>➡️</v>
      </c>
      <c r="G19" s="10"/>
    </row>
    <row r="20" customFormat="false" ht="15" hidden="false" customHeight="false" outlineLevel="0" collapsed="false">
      <c r="A20" s="10" t="s">
        <v>133</v>
      </c>
      <c r="B20" s="10"/>
      <c r="C20" s="10"/>
      <c r="D20" s="10" t="n">
        <f aca="false">C20-B20</f>
        <v>0</v>
      </c>
      <c r="E20" s="12" t="str">
        <f aca="false">IF(B20=0,"-",D20/B20)</f>
        <v>-</v>
      </c>
      <c r="F20" s="10" t="str">
        <f aca="false">IF(D20&gt;0,"📈",IF(D20&lt;0,"📉","➡️"))</f>
        <v>➡️</v>
      </c>
      <c r="G20" s="10"/>
    </row>
    <row r="21" customFormat="false" ht="15" hidden="false" customHeight="false" outlineLevel="0" collapsed="false">
      <c r="A21" s="10" t="s">
        <v>16</v>
      </c>
      <c r="B21" s="10"/>
      <c r="C21" s="10"/>
      <c r="D21" s="10" t="n">
        <f aca="false">C21-B21</f>
        <v>0</v>
      </c>
      <c r="E21" s="12" t="str">
        <f aca="false">IF(B21=0,"-",D21/B21)</f>
        <v>-</v>
      </c>
      <c r="F21" s="10" t="str">
        <f aca="false">IF(D21&gt;0,"📈",IF(D21&lt;0,"📉","➡️"))</f>
        <v>➡️</v>
      </c>
      <c r="G21" s="10"/>
    </row>
    <row r="22" customFormat="false" ht="15" hidden="false" customHeight="false" outlineLevel="0" collapsed="false">
      <c r="A22" s="10" t="s">
        <v>134</v>
      </c>
      <c r="B22" s="10"/>
      <c r="C22" s="10"/>
      <c r="D22" s="10" t="n">
        <f aca="false">C22-B22</f>
        <v>0</v>
      </c>
      <c r="E22" s="12" t="str">
        <f aca="false">IF(B22=0,"-",D22/B22)</f>
        <v>-</v>
      </c>
      <c r="F22" s="10" t="str">
        <f aca="false">IF(D22&gt;0,"📈",IF(D22&lt;0,"📉","➡️"))</f>
        <v>➡️</v>
      </c>
      <c r="G22" s="10"/>
    </row>
    <row r="24" customFormat="false" ht="15" hidden="false" customHeight="true" outlineLevel="0" collapsed="false">
      <c r="A24" s="13" t="s">
        <v>135</v>
      </c>
      <c r="B24" s="13"/>
      <c r="C24" s="13"/>
      <c r="D24" s="13"/>
      <c r="E24" s="13"/>
      <c r="F24" s="13"/>
      <c r="G24" s="13"/>
    </row>
    <row r="25" customFormat="false" ht="15" hidden="false" customHeight="false" outlineLevel="0" collapsed="false">
      <c r="A25" s="4" t="s">
        <v>136</v>
      </c>
      <c r="B25" s="4" t="s">
        <v>49</v>
      </c>
      <c r="C25" s="4" t="s">
        <v>137</v>
      </c>
      <c r="D25" s="4" t="s">
        <v>138</v>
      </c>
      <c r="E25" s="4" t="s">
        <v>139</v>
      </c>
      <c r="F25" s="4" t="s">
        <v>140</v>
      </c>
      <c r="G25" s="4" t="s">
        <v>10</v>
      </c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</sheetData>
  <mergeCells count="4">
    <mergeCell ref="A1:G1"/>
    <mergeCell ref="A2:G2"/>
    <mergeCell ref="A16:G16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15" t="s">
        <v>141</v>
      </c>
      <c r="B1" s="15"/>
      <c r="C1" s="15"/>
      <c r="D1" s="15"/>
      <c r="E1" s="15"/>
      <c r="F1" s="15"/>
    </row>
    <row r="3" customFormat="false" ht="26.85" hidden="false" customHeight="false" outlineLevel="0" collapsed="false">
      <c r="A3" s="4" t="s">
        <v>63</v>
      </c>
      <c r="B3" s="4" t="s">
        <v>3</v>
      </c>
      <c r="C3" s="4" t="s">
        <v>142</v>
      </c>
      <c r="D3" s="4" t="s">
        <v>143</v>
      </c>
      <c r="E3" s="4" t="s">
        <v>144</v>
      </c>
      <c r="F3" s="4" t="s">
        <v>145</v>
      </c>
    </row>
    <row r="4" customFormat="false" ht="15" hidden="false" customHeight="false" outlineLevel="0" collapsed="false">
      <c r="A4" s="10" t="s">
        <v>146</v>
      </c>
      <c r="B4" s="10" t="s">
        <v>147</v>
      </c>
      <c r="C4" s="10" t="s">
        <v>148</v>
      </c>
      <c r="D4" s="10" t="s">
        <v>149</v>
      </c>
      <c r="E4" s="10" t="s">
        <v>150</v>
      </c>
      <c r="F4" s="10" t="s">
        <v>151</v>
      </c>
    </row>
    <row r="5" customFormat="false" ht="15" hidden="false" customHeight="false" outlineLevel="0" collapsed="false">
      <c r="A5" s="10" t="s">
        <v>146</v>
      </c>
      <c r="B5" s="10" t="s">
        <v>134</v>
      </c>
      <c r="C5" s="10" t="s">
        <v>152</v>
      </c>
      <c r="D5" s="10" t="s">
        <v>153</v>
      </c>
      <c r="E5" s="10" t="s">
        <v>154</v>
      </c>
      <c r="F5" s="10" t="s">
        <v>155</v>
      </c>
    </row>
    <row r="6" customFormat="false" ht="15" hidden="false" customHeight="false" outlineLevel="0" collapsed="false">
      <c r="A6" s="10" t="s">
        <v>146</v>
      </c>
      <c r="B6" s="10" t="s">
        <v>156</v>
      </c>
      <c r="C6" s="10" t="s">
        <v>157</v>
      </c>
      <c r="D6" s="10" t="s">
        <v>158</v>
      </c>
      <c r="E6" s="10" t="s">
        <v>53</v>
      </c>
      <c r="F6" s="10" t="s">
        <v>159</v>
      </c>
    </row>
    <row r="7" customFormat="false" ht="15" hidden="false" customHeight="false" outlineLevel="0" collapsed="false">
      <c r="A7" s="10" t="s">
        <v>160</v>
      </c>
      <c r="B7" s="10" t="s">
        <v>161</v>
      </c>
      <c r="C7" s="10" t="s">
        <v>162</v>
      </c>
      <c r="D7" s="10" t="s">
        <v>163</v>
      </c>
      <c r="E7" s="10" t="s">
        <v>150</v>
      </c>
      <c r="F7" s="10" t="s">
        <v>164</v>
      </c>
    </row>
    <row r="8" customFormat="false" ht="15" hidden="false" customHeight="false" outlineLevel="0" collapsed="false">
      <c r="A8" s="10" t="s">
        <v>160</v>
      </c>
      <c r="B8" s="10" t="s">
        <v>165</v>
      </c>
      <c r="C8" s="10" t="s">
        <v>166</v>
      </c>
      <c r="D8" s="10" t="s">
        <v>167</v>
      </c>
      <c r="E8" s="10" t="s">
        <v>150</v>
      </c>
      <c r="F8" s="10" t="s">
        <v>168</v>
      </c>
    </row>
    <row r="9" customFormat="false" ht="15" hidden="false" customHeight="false" outlineLevel="0" collapsed="false">
      <c r="A9" s="10" t="s">
        <v>160</v>
      </c>
      <c r="B9" s="10" t="s">
        <v>169</v>
      </c>
      <c r="C9" s="10" t="s">
        <v>170</v>
      </c>
      <c r="D9" s="10" t="s">
        <v>171</v>
      </c>
      <c r="E9" s="10" t="s">
        <v>60</v>
      </c>
      <c r="F9" s="10" t="s">
        <v>172</v>
      </c>
    </row>
    <row r="10" customFormat="false" ht="15" hidden="false" customHeight="false" outlineLevel="0" collapsed="false">
      <c r="A10" s="10" t="s">
        <v>173</v>
      </c>
      <c r="B10" s="10" t="s">
        <v>174</v>
      </c>
      <c r="C10" s="10" t="s">
        <v>175</v>
      </c>
      <c r="D10" s="10" t="s">
        <v>176</v>
      </c>
      <c r="E10" s="10" t="s">
        <v>53</v>
      </c>
      <c r="F10" s="10" t="s">
        <v>177</v>
      </c>
    </row>
    <row r="11" customFormat="false" ht="15" hidden="false" customHeight="false" outlineLevel="0" collapsed="false">
      <c r="A11" s="10" t="s">
        <v>173</v>
      </c>
      <c r="B11" s="10" t="s">
        <v>178</v>
      </c>
      <c r="C11" s="10" t="s">
        <v>179</v>
      </c>
      <c r="D11" s="10" t="s">
        <v>180</v>
      </c>
      <c r="E11" s="10" t="s">
        <v>58</v>
      </c>
      <c r="F11" s="10" t="s">
        <v>181</v>
      </c>
    </row>
    <row r="12" customFormat="false" ht="15" hidden="false" customHeight="false" outlineLevel="0" collapsed="false">
      <c r="A12" s="10" t="s">
        <v>173</v>
      </c>
      <c r="B12" s="10" t="s">
        <v>182</v>
      </c>
      <c r="C12" s="10" t="s">
        <v>183</v>
      </c>
      <c r="D12" s="10" t="s">
        <v>184</v>
      </c>
      <c r="E12" s="10" t="s">
        <v>58</v>
      </c>
      <c r="F12" s="10" t="s">
        <v>185</v>
      </c>
    </row>
    <row r="13" customFormat="false" ht="15" hidden="false" customHeight="false" outlineLevel="0" collapsed="false">
      <c r="A13" s="10" t="s">
        <v>186</v>
      </c>
      <c r="B13" s="10" t="s">
        <v>187</v>
      </c>
      <c r="C13" s="10" t="s">
        <v>188</v>
      </c>
      <c r="D13" s="10" t="s">
        <v>189</v>
      </c>
      <c r="E13" s="10" t="s">
        <v>150</v>
      </c>
      <c r="F13" s="10" t="s">
        <v>190</v>
      </c>
    </row>
    <row r="14" customFormat="false" ht="15" hidden="false" customHeight="false" outlineLevel="0" collapsed="false">
      <c r="A14" s="10" t="s">
        <v>186</v>
      </c>
      <c r="B14" s="10" t="s">
        <v>191</v>
      </c>
      <c r="C14" s="10" t="s">
        <v>192</v>
      </c>
      <c r="D14" s="10" t="s">
        <v>193</v>
      </c>
      <c r="E14" s="10" t="s">
        <v>60</v>
      </c>
      <c r="F14" s="10" t="s">
        <v>194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2026-03-30T02:08:03Z</dcterms:created>
  <dc:creator>openpyxl</dc:creator>
  <dc:description/>
  <dc:language>en-US</dc:language>
  <cp:lastModifiedBy/>
  <dcterms:modified xsi:type="dcterms:W3CDTF">2026-03-30T02:08:03Z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