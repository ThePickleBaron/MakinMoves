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ositions" sheetId="2" r:id="rId6"/>
    <sheet state="visible" name="Realized Trades" sheetId="3" r:id="rId7"/>
    <sheet state="visible" name="Watchlist" sheetId="4" r:id="rId8"/>
    <sheet state="visible" name="Trade Journal" sheetId="5" r:id="rId9"/>
    <sheet state="visible" name="Dividend Tracker" sheetId="6" r:id="rId10"/>
    <sheet state="visible" name="How To Use" sheetId="7" r:id="rId11"/>
  </sheets>
  <definedNames>
    <definedName hidden="1" localSheetId="1" name="_xlnm._FilterDatabase">Positions!$A$1:$T$200</definedName>
  </definedNames>
  <calcPr/>
</workbook>
</file>

<file path=xl/sharedStrings.xml><?xml version="1.0" encoding="utf-8"?>
<sst xmlns="http://schemas.openxmlformats.org/spreadsheetml/2006/main" count="238" uniqueCount="170">
  <si>
    <t>ACTIVE TRADER PORTFOLIO TRACKER</t>
  </si>
  <si>
    <t>ACCOUNT SUMMARY</t>
  </si>
  <si>
    <t>Account</t>
  </si>
  <si>
    <t>Market Value</t>
  </si>
  <si>
    <t>Cost Basis</t>
  </si>
  <si>
    <t>Gain/Loss $</t>
  </si>
  <si>
    <t>Gain/Loss %</t>
  </si>
  <si>
    <t># Positions</t>
  </si>
  <si>
    <t>Individual</t>
  </si>
  <si>
    <t>Rollover IRA</t>
  </si>
  <si>
    <t>ALL ACCOUNTS</t>
  </si>
  <si>
    <t>SECTOR ALLOCATION</t>
  </si>
  <si>
    <t>Sector</t>
  </si>
  <si>
    <t>% of Portfolio</t>
  </si>
  <si>
    <t>Energy</t>
  </si>
  <si>
    <t>IT</t>
  </si>
  <si>
    <t>Materials</t>
  </si>
  <si>
    <t>Healthcare</t>
  </si>
  <si>
    <t>Industrials</t>
  </si>
  <si>
    <t>Financials</t>
  </si>
  <si>
    <t>Consumer</t>
  </si>
  <si>
    <t>Utilities</t>
  </si>
  <si>
    <t>Comm Services</t>
  </si>
  <si>
    <t>Real Estate</t>
  </si>
  <si>
    <t>MACRO INDICATORS</t>
  </si>
  <si>
    <t>Indicator</t>
  </si>
  <si>
    <t>Value</t>
  </si>
  <si>
    <t>Trend</t>
  </si>
  <si>
    <t>Notes</t>
  </si>
  <si>
    <t>Brent Crude</t>
  </si>
  <si>
    <t>Gold (oz)</t>
  </si>
  <si>
    <t>Auto (GLD ETF)</t>
  </si>
  <si>
    <t>DXY</t>
  </si>
  <si>
    <t>10Y Treasury</t>
  </si>
  <si>
    <t>VIX</t>
  </si>
  <si>
    <t>Symbol</t>
  </si>
  <si>
    <t>Description</t>
  </si>
  <si>
    <t>Asset Type</t>
  </si>
  <si>
    <t>Quantity</t>
  </si>
  <si>
    <t>Avg Cost/Share</t>
  </si>
  <si>
    <t>Current Price</t>
  </si>
  <si>
    <t>Div Yield</t>
  </si>
  <si>
    <t>Div Pay Date</t>
  </si>
  <si>
    <t>Status</t>
  </si>
  <si>
    <t>Exit Target</t>
  </si>
  <si>
    <t>Stop Loss</t>
  </si>
  <si>
    <t>Tags</t>
  </si>
  <si>
    <t>Thesis</t>
  </si>
  <si>
    <t>AAPL</t>
  </si>
  <si>
    <t>Apple Inc</t>
  </si>
  <si>
    <t>Equity</t>
  </si>
  <si>
    <t>Active</t>
  </si>
  <si>
    <t>Momentum, Long Term</t>
  </si>
  <si>
    <t>Core tech holding. Strong services revenue growth.</t>
  </si>
  <si>
    <t>XOM</t>
  </si>
  <si>
    <t>Exxon Mobil Corp</t>
  </si>
  <si>
    <t>Dividend, Value</t>
  </si>
  <si>
    <t>Energy supercycle play. Domestic production hedge.</t>
  </si>
  <si>
    <t>GLD</t>
  </si>
  <si>
    <t>SPDR Gold Shares</t>
  </si>
  <si>
    <t>ETF</t>
  </si>
  <si>
    <t>Hedge</t>
  </si>
  <si>
    <t>Gold vault position. Capital preservation.</t>
  </si>
  <si>
    <t>INTC</t>
  </si>
  <si>
    <t>Intel Corp</t>
  </si>
  <si>
    <t>Value, Speculative</t>
  </si>
  <si>
    <t>Turnaround bet on foundry business.</t>
  </si>
  <si>
    <t>NTR</t>
  </si>
  <si>
    <t>Nutrien Ltd</t>
  </si>
  <si>
    <t>Value, Dividend</t>
  </si>
  <si>
    <t>Worlds largest potash producer. Fertilizer anchor.</t>
  </si>
  <si>
    <t>NAT</t>
  </si>
  <si>
    <t>Nordic American Tanker</t>
  </si>
  <si>
    <t>Tanker play. Longer voyages = more revenue.</t>
  </si>
  <si>
    <t>CF</t>
  </si>
  <si>
    <t>CF Industries</t>
  </si>
  <si>
    <t>US nitrogen producer. Cheapest nat gas input costs.</t>
  </si>
  <si>
    <t>GNK</t>
  </si>
  <si>
    <t>Genco Shipping</t>
  </si>
  <si>
    <t>Dry bulk shipping. Grain and fertilizer transport.</t>
  </si>
  <si>
    <t>Open Date</t>
  </si>
  <si>
    <t>Close Date</t>
  </si>
  <si>
    <t>Proceeds/Share</t>
  </si>
  <si>
    <t>Cost/Share</t>
  </si>
  <si>
    <t>Proceeds</t>
  </si>
  <si>
    <t>Term</t>
  </si>
  <si>
    <t>Wash Sale?</t>
  </si>
  <si>
    <t>Disallowed Loss</t>
  </si>
  <si>
    <t>AAOI</t>
  </si>
  <si>
    <t>Applied Optoelectronics</t>
  </si>
  <si>
    <t>2026-03-05</t>
  </si>
  <si>
    <t>2026-03-10</t>
  </si>
  <si>
    <t>LITE</t>
  </si>
  <si>
    <t>Lumentum Holdings</t>
  </si>
  <si>
    <t>2026-03-15</t>
  </si>
  <si>
    <t>2026-04-01</t>
  </si>
  <si>
    <t>RIG</t>
  </si>
  <si>
    <t>Transocean</t>
  </si>
  <si>
    <t>2026-03-25</t>
  </si>
  <si>
    <t>2026-03-31</t>
  </si>
  <si>
    <t>YTD SUMMARY</t>
  </si>
  <si>
    <t>Total Realized G/L</t>
  </si>
  <si>
    <t>Target Entry</t>
  </si>
  <si>
    <t>Gap to Entry</t>
  </si>
  <si>
    <t>Catalyst</t>
  </si>
  <si>
    <t>Priority</t>
  </si>
  <si>
    <t>Added Date</t>
  </si>
  <si>
    <t>ARM</t>
  </si>
  <si>
    <t>ARM Holdings</t>
  </si>
  <si>
    <t>Semiconductor IP leader. AI chip demand.</t>
  </si>
  <si>
    <t>Earnings beat</t>
  </si>
  <si>
    <t>Warm</t>
  </si>
  <si>
    <t>2026-03-24</t>
  </si>
  <si>
    <t>DE</t>
  </si>
  <si>
    <t>Deere &amp; Co</t>
  </si>
  <si>
    <t>Ag equipment at cycle trough.</t>
  </si>
  <si>
    <t>Guidance upgrade</t>
  </si>
  <si>
    <t>Cold</t>
  </si>
  <si>
    <t>2026-04-02</t>
  </si>
  <si>
    <t>PG</t>
  </si>
  <si>
    <t>Procter &amp; Gamble</t>
  </si>
  <si>
    <t>Recession-proof staples.</t>
  </si>
  <si>
    <t>Market selloff</t>
  </si>
  <si>
    <t>Date</t>
  </si>
  <si>
    <t>Market View</t>
  </si>
  <si>
    <t>Symbols</t>
  </si>
  <si>
    <t>Decision</t>
  </si>
  <si>
    <t>Outcome</t>
  </si>
  <si>
    <t>Lesson</t>
  </si>
  <si>
    <t>Cautious</t>
  </si>
  <si>
    <t>LITE, CF, NTR</t>
  </si>
  <si>
    <t>Trimmed LITE. Rotated into fertilizer basket.</t>
  </si>
  <si>
    <t>Locked in gains.</t>
  </si>
  <si>
    <t>Take profits mechanically.</t>
  </si>
  <si>
    <t>GNK, NAT, FJET</t>
  </si>
  <si>
    <t>Added GNK with tiered OCO. Doubled NAT.</t>
  </si>
  <si>
    <t>All green day one.</t>
  </si>
  <si>
    <t>Momentum + defined exits work.</t>
  </si>
  <si>
    <t>Pay Date</t>
  </si>
  <si>
    <t>Amount/Share</t>
  </si>
  <si>
    <t>Shares Held</t>
  </si>
  <si>
    <t>Total Payment</t>
  </si>
  <si>
    <t>Reinvested?</t>
  </si>
  <si>
    <t>No</t>
  </si>
  <si>
    <t>ENB</t>
  </si>
  <si>
    <t>2026-03-01</t>
  </si>
  <si>
    <t>YTD TOTAL</t>
  </si>
  <si>
    <t>ACTIVE TRADER PORTFOLIO TRACKER — SETUP GUIDE</t>
  </si>
  <si>
    <t>STEP 1: MAKE YOUR OWN COPY</t>
  </si>
  <si>
    <t>Google Sheets: File &gt; Make a Copy. Excel: Save As.</t>
  </si>
  <si>
    <t>STEP 2: AUTO-PRICING IS ALREADY SET UP</t>
  </si>
  <si>
    <t>Column H (Current Price) in Positions and Column D in Watchlist use =GOOGLEFINANCE() automatically.</t>
  </si>
  <si>
    <t>Prices update every ~20 min for free. Only works in Google Sheets — not Excel or LibreOffice.</t>
  </si>
  <si>
    <t>STEP 3: ADD YOUR POSITIONS</t>
  </si>
  <si>
    <t>Delete sample data. Add: Symbol, Description, Account, Sector, Quantity, Avg Cost/Share.</t>
  </si>
  <si>
    <t>Market Value, Cost Basis, Gain/Loss auto-calculate. Use dropdowns for Account/Sector/Status.</t>
  </si>
  <si>
    <t>STEP 4: LOG TRADES</t>
  </si>
  <si>
    <t>Add closed positions to Realized Trades. Term auto-calculates (Short/Long based on hold time).</t>
  </si>
  <si>
    <t>STEP 5: WATCHLIST</t>
  </si>
  <si>
    <t>Add tickers with target entry prices. Gap to Entry shows how close to your buy price.</t>
  </si>
  <si>
    <t>STEP 6: TRADE JOURNAL</t>
  </si>
  <si>
    <t>After each session: date, market view, decision, outcome, lesson. Best tool for improving.</t>
  </si>
  <si>
    <t>STEP 7: DASHBOARD</t>
  </si>
  <si>
    <t>Auto-calculates from Positions. Account summaries, sector allocation, macro indicators.</t>
  </si>
  <si>
    <t>TIPS</t>
  </si>
  <si>
    <t>- Update at market close daily (2-5 min)</t>
  </si>
  <si>
    <t>- The Thesis column is your most valuable field. If a position has no thesis, rethink it.</t>
  </si>
  <si>
    <t>- Green = making money. Red = losing money.</t>
  </si>
  <si>
    <t>- Dividend data must be entered manually. GOOGLEFINANCE does not reliably provide dividend amounts.</t>
  </si>
  <si>
    <t>Built by an active trader managing a six-figure portfolio across multiple accounts.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</si>
</sst>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"/>
    <numFmt numFmtId="165" formatCode="0.0%"/>
  </numFmts>
  <fonts count="11">
    <font>
      <sz val="11.0"/>
      <color theme="1"/>
      <name val="Calibri"/>
      <scheme val="minor"/>
    </font>
    <font>
      <b/>
      <sz val="16.0"/>
      <color rgb="FF1F2937"/>
      <name val="Cambria"/>
    </font>
    <font>
      <i/>
      <sz val="9.0"/>
      <color rgb="FF888888"/>
      <name val="Arial"/>
    </font>
    <font>
      <b/>
      <sz val="11.0"/>
      <color rgb="FF4B5563"/>
      <name val="Calibri"/>
    </font>
    <font>
      <b/>
      <sz val="11.0"/>
      <color rgb="FFFFFFFF"/>
      <name val="Calibri"/>
    </font>
    <font>
      <sz val="11.0"/>
      <color theme="1"/>
      <name val="Cambria"/>
    </font>
    <font>
      <sz val="11.0"/>
      <color theme="1"/>
      <name val="Calibri"/>
    </font>
    <font>
      <b/>
      <sz val="11.0"/>
      <color theme="1"/>
      <name val="Cambria"/>
    </font>
    <font>
      <color theme="1"/>
      <name val="Calibri"/>
      <scheme val="minor"/>
    </font>
    <font>
      <i/>
      <sz val="11.0"/>
      <color rgb="FF6B7280"/>
      <name val="Cambria"/>
    </font>
    <font>
      <b/>
      <sz val="12.0"/>
      <color theme="1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bottom" wrapText="1"/>
    </xf>
    <xf borderId="1" fillId="0" fontId="5" numFmtId="0" xfId="0" applyAlignment="1" applyBorder="1" applyFont="1">
      <alignment shrinkToFit="0" vertical="bottom" wrapText="0"/>
    </xf>
    <xf borderId="1" fillId="0" fontId="6" numFmtId="164" xfId="0" applyAlignment="1" applyBorder="1" applyFont="1" applyNumberFormat="1">
      <alignment shrinkToFit="0" vertical="bottom" wrapText="0"/>
    </xf>
    <xf borderId="1" fillId="0" fontId="6" numFmtId="165" xfId="0" applyAlignment="1" applyBorder="1" applyFont="1" applyNumberForma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6" numFmtId="10" xfId="0" applyAlignment="1" applyBorder="1" applyFont="1" applyNumberFormat="1">
      <alignment shrinkToFit="0" vertical="bottom" wrapText="0"/>
    </xf>
    <xf borderId="0" fillId="0" fontId="8" numFmtId="0" xfId="0" applyFont="1"/>
    <xf borderId="0" fillId="0" fontId="9" numFmtId="0" xfId="0" applyAlignment="1" applyFon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4" width="16.0"/>
    <col customWidth="1" min="5" max="6" width="14.0"/>
    <col customWidth="1" min="7" max="26" width="8.71"/>
  </cols>
  <sheetData>
    <row r="1">
      <c r="A1" s="1" t="s">
        <v>0</v>
      </c>
    </row>
    <row r="2">
      <c r="A2" s="2" t="str">
        <f>TEXT(NOW(),"Last updated: mmm d, yyyy  h:mm AM/PM")</f>
        <v>La3t up3at20263: Apr 3, 2026  10:28 PM</v>
      </c>
    </row>
    <row r="4">
      <c r="A4" s="3" t="s">
        <v>1</v>
      </c>
    </row>
    <row r="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>
      <c r="A6" s="5" t="s">
        <v>8</v>
      </c>
      <c r="B6" s="6">
        <f>SUMIFS(Positions!I:I,Positions!C:C,"Individual")</f>
        <v>37087.2</v>
      </c>
      <c r="C6" s="6">
        <f>SUMIFS(Positions!J:J,Positions!C:C,"Individual")</f>
        <v>24303.6</v>
      </c>
      <c r="D6" s="6">
        <f t="shared" ref="D6:D8" si="1">B6-C6</f>
        <v>12783.6</v>
      </c>
      <c r="E6" s="7">
        <f t="shared" ref="E6:E8" si="2">IF(C6&lt;&gt;0,D6/C6,0)</f>
        <v>0.5259961487</v>
      </c>
      <c r="F6" s="8">
        <f>COUNTIFS(Positions!C:C,"Individual")</f>
        <v>6</v>
      </c>
    </row>
    <row r="7">
      <c r="A7" s="5" t="s">
        <v>9</v>
      </c>
      <c r="B7" s="6">
        <f>SUMIFS(Positions!I:I,Positions!C:C,"Rollover IRA")</f>
        <v>10298.6</v>
      </c>
      <c r="C7" s="6">
        <f>SUMIFS(Positions!J:J,Positions!C:C,"Rollover IRA")</f>
        <v>6487</v>
      </c>
      <c r="D7" s="6">
        <f t="shared" si="1"/>
        <v>3811.6</v>
      </c>
      <c r="E7" s="7">
        <f t="shared" si="2"/>
        <v>0.5875751503</v>
      </c>
      <c r="F7" s="8">
        <f>COUNTIFS(Positions!C:C,"Rollover IRA")</f>
        <v>2</v>
      </c>
    </row>
    <row r="8">
      <c r="A8" s="9" t="s">
        <v>10</v>
      </c>
      <c r="B8" s="6">
        <f>SUM(Positions!I:I)</f>
        <v>47385.8</v>
      </c>
      <c r="C8" s="6">
        <f>SUM(Positions!J:J)</f>
        <v>30790.6</v>
      </c>
      <c r="D8" s="6">
        <f t="shared" si="1"/>
        <v>16595.2</v>
      </c>
      <c r="E8" s="7">
        <f t="shared" si="2"/>
        <v>0.5389696856</v>
      </c>
      <c r="F8" s="8">
        <f>COUNTA(Positions!A2:A200)</f>
        <v>8</v>
      </c>
    </row>
    <row r="10">
      <c r="A10" s="3" t="s">
        <v>11</v>
      </c>
    </row>
    <row r="11">
      <c r="A11" s="4" t="s">
        <v>12</v>
      </c>
      <c r="B11" s="4" t="s">
        <v>3</v>
      </c>
      <c r="C11" s="4" t="s">
        <v>13</v>
      </c>
    </row>
    <row r="12">
      <c r="A12" s="8" t="s">
        <v>14</v>
      </c>
      <c r="B12" s="6">
        <f>SUMIFS(Positions!I:I,Positions!D:D,"Energy")</f>
        <v>10494.5</v>
      </c>
      <c r="C12" s="7">
        <f>IF(SUM(Positions!I:I)&lt;&gt;0,B12/SUM(Positions!I:I),0)</f>
        <v>0.2214693009</v>
      </c>
    </row>
    <row r="13">
      <c r="A13" s="8" t="s">
        <v>15</v>
      </c>
      <c r="B13" s="6">
        <f>SUMIFS(Positions!I:I,Positions!D:D,"IT")</f>
        <v>11436</v>
      </c>
      <c r="C13" s="7">
        <f>IF(SUM(Positions!I:I)&lt;&gt;0,B13/SUM(Positions!I:I),0)</f>
        <v>0.2413381224</v>
      </c>
    </row>
    <row r="14">
      <c r="A14" s="8" t="s">
        <v>16</v>
      </c>
      <c r="B14" s="6">
        <f>SUMIFS(Positions!I:I,Positions!D:D,"Materials")</f>
        <v>20740.2</v>
      </c>
      <c r="C14" s="7">
        <f>IF(SUM(Positions!I:I)&lt;&gt;0,B14/SUM(Positions!I:I),0)</f>
        <v>0.4376880838</v>
      </c>
    </row>
    <row r="15">
      <c r="A15" s="8" t="s">
        <v>17</v>
      </c>
      <c r="B15" s="6">
        <f>SUMIFS(Positions!I:I,Positions!D:D,"Healthcare")</f>
        <v>0</v>
      </c>
      <c r="C15" s="7">
        <f>IF(SUM(Positions!I:I)&lt;&gt;0,B15/SUM(Positions!I:I),0)</f>
        <v>0</v>
      </c>
    </row>
    <row r="16">
      <c r="A16" s="8" t="s">
        <v>18</v>
      </c>
      <c r="B16" s="6">
        <f>SUMIFS(Positions!I:I,Positions!D:D,"Industrials")</f>
        <v>4715.1</v>
      </c>
      <c r="C16" s="7">
        <f>IF(SUM(Positions!I:I)&lt;&gt;0,B16/SUM(Positions!I:I),0)</f>
        <v>0.09950449291</v>
      </c>
    </row>
    <row r="17">
      <c r="A17" s="8" t="s">
        <v>19</v>
      </c>
      <c r="B17" s="6">
        <f>SUMIFS(Positions!I:I,Positions!D:D,"Financials")</f>
        <v>0</v>
      </c>
      <c r="C17" s="7">
        <f>IF(SUM(Positions!I:I)&lt;&gt;0,B17/SUM(Positions!I:I),0)</f>
        <v>0</v>
      </c>
    </row>
    <row r="18">
      <c r="A18" s="8" t="s">
        <v>20</v>
      </c>
      <c r="B18" s="6">
        <f>SUMIFS(Positions!I:I,Positions!D:D,"Consumer")</f>
        <v>0</v>
      </c>
      <c r="C18" s="7">
        <f>IF(SUM(Positions!I:I)&lt;&gt;0,B18/SUM(Positions!I:I),0)</f>
        <v>0</v>
      </c>
    </row>
    <row r="19">
      <c r="A19" s="8" t="s">
        <v>21</v>
      </c>
      <c r="B19" s="6">
        <f>SUMIFS(Positions!I:I,Positions!D:D,"Utilities")</f>
        <v>0</v>
      </c>
      <c r="C19" s="7">
        <f>IF(SUM(Positions!I:I)&lt;&gt;0,B19/SUM(Positions!I:I),0)</f>
        <v>0</v>
      </c>
    </row>
    <row r="20">
      <c r="A20" s="8" t="s">
        <v>22</v>
      </c>
      <c r="B20" s="6">
        <f>SUMIFS(Positions!I:I,Positions!D:D,"Comm Services")</f>
        <v>0</v>
      </c>
      <c r="C20" s="7">
        <f>IF(SUM(Positions!I:I)&lt;&gt;0,B20/SUM(Positions!I:I),0)</f>
        <v>0</v>
      </c>
    </row>
    <row r="21" ht="15.75" customHeight="1">
      <c r="A21" s="8" t="s">
        <v>23</v>
      </c>
      <c r="B21" s="6">
        <f>SUMIFS(Positions!I:I,Positions!D:D,"Real Estate")</f>
        <v>0</v>
      </c>
      <c r="C21" s="7">
        <f>IF(SUM(Positions!I:I)&lt;&gt;0,B21/SUM(Positions!I:I),0)</f>
        <v>0</v>
      </c>
    </row>
    <row r="22" ht="15.75" customHeight="1"/>
    <row r="23" ht="15.75" customHeight="1">
      <c r="A23" s="3" t="s">
        <v>24</v>
      </c>
    </row>
    <row r="24" ht="15.75" customHeight="1">
      <c r="A24" s="4" t="s">
        <v>25</v>
      </c>
      <c r="B24" s="4" t="s">
        <v>26</v>
      </c>
      <c r="C24" s="4" t="s">
        <v>27</v>
      </c>
      <c r="D24" s="4" t="s">
        <v>28</v>
      </c>
    </row>
    <row r="25" ht="15.75" customHeight="1">
      <c r="A25" s="8" t="s">
        <v>29</v>
      </c>
      <c r="B25" s="8"/>
      <c r="C25" s="8"/>
      <c r="D25" s="8"/>
    </row>
    <row r="26" ht="15.75" customHeight="1">
      <c r="A26" s="8" t="s">
        <v>30</v>
      </c>
      <c r="B26" s="6">
        <f>IFERROR(__xludf.DUMMYFUNCTION("googlefinance(""GLD"",""price"")"),429.41)</f>
        <v>429.41</v>
      </c>
      <c r="C26" s="10" t="s">
        <v>31</v>
      </c>
      <c r="D26" s="8"/>
    </row>
    <row r="27" ht="15.75" customHeight="1">
      <c r="A27" s="8" t="s">
        <v>32</v>
      </c>
      <c r="B27" s="8"/>
      <c r="C27" s="8"/>
      <c r="D27" s="8"/>
    </row>
    <row r="28" ht="15.75" customHeight="1">
      <c r="A28" s="8" t="s">
        <v>33</v>
      </c>
      <c r="B28" s="8"/>
      <c r="C28" s="8"/>
      <c r="D28" s="8"/>
    </row>
    <row r="29" ht="15.75" customHeight="1">
      <c r="A29" s="8" t="s">
        <v>34</v>
      </c>
      <c r="B29" s="8"/>
      <c r="C29" s="8"/>
      <c r="D29" s="8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14.0"/>
    <col customWidth="1" min="4" max="4" width="18.0"/>
    <col customWidth="1" min="5" max="5" width="12.0"/>
    <col customWidth="1" min="6" max="6" width="10.0"/>
    <col customWidth="1" min="7" max="11" width="14.0"/>
    <col customWidth="1" min="12" max="13" width="12.0"/>
    <col customWidth="1" min="14" max="14" width="10.0"/>
    <col customWidth="1" min="15" max="18" width="12.0"/>
    <col customWidth="1" min="19" max="19" width="18.0"/>
    <col customWidth="1" min="20" max="20" width="35.0"/>
    <col customWidth="1" min="21" max="26" width="8.71"/>
  </cols>
  <sheetData>
    <row r="1">
      <c r="A1" s="4" t="s">
        <v>35</v>
      </c>
      <c r="B1" s="4" t="s">
        <v>36</v>
      </c>
      <c r="C1" s="4" t="s">
        <v>2</v>
      </c>
      <c r="D1" s="4" t="s">
        <v>12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13</v>
      </c>
      <c r="N1" s="4" t="s">
        <v>41</v>
      </c>
      <c r="O1" s="4" t="s">
        <v>42</v>
      </c>
      <c r="P1" s="4" t="s">
        <v>43</v>
      </c>
      <c r="Q1" s="4" t="s">
        <v>44</v>
      </c>
      <c r="R1" s="4" t="s">
        <v>45</v>
      </c>
      <c r="S1" s="4" t="s">
        <v>46</v>
      </c>
      <c r="T1" s="4" t="s">
        <v>47</v>
      </c>
    </row>
    <row r="2">
      <c r="A2" s="8" t="s">
        <v>48</v>
      </c>
      <c r="B2" s="8" t="s">
        <v>49</v>
      </c>
      <c r="C2" s="8" t="s">
        <v>8</v>
      </c>
      <c r="D2" s="8" t="s">
        <v>15</v>
      </c>
      <c r="E2" s="8" t="s">
        <v>50</v>
      </c>
      <c r="F2" s="8">
        <v>25.0</v>
      </c>
      <c r="G2" s="6">
        <v>178.5</v>
      </c>
      <c r="H2" s="6">
        <f>IFERROR(__xludf.DUMMYFUNCTION("googlefinance(A2,""price"")"),255.92)</f>
        <v>255.92</v>
      </c>
      <c r="I2" s="6">
        <f t="shared" ref="I2:I9" si="1">F2*H2</f>
        <v>6398</v>
      </c>
      <c r="J2" s="6">
        <f t="shared" ref="J2:J9" si="2">F2*G2</f>
        <v>4462.5</v>
      </c>
      <c r="K2" s="6">
        <f t="shared" ref="K2:K9" si="3">I2-J2</f>
        <v>1935.5</v>
      </c>
      <c r="L2" s="7">
        <f t="shared" ref="L2:L9" si="4">IF(J2&lt;&gt;0,K2/J2,0)</f>
        <v>0.4337254902</v>
      </c>
      <c r="M2" s="7">
        <f t="shared" ref="M2:M9" si="5">IF(SUM($I$2:$I$200)&lt;&gt;0,I2/SUM($I$2:$I$200),0)</f>
        <v>0.1350193518</v>
      </c>
      <c r="N2" s="7">
        <v>0.005</v>
      </c>
      <c r="O2" s="8"/>
      <c r="P2" s="8" t="s">
        <v>51</v>
      </c>
      <c r="Q2" s="6">
        <v>220.0</v>
      </c>
      <c r="R2" s="6">
        <v>165.0</v>
      </c>
      <c r="S2" s="8" t="s">
        <v>52</v>
      </c>
      <c r="T2" s="8" t="s">
        <v>53</v>
      </c>
    </row>
    <row r="3">
      <c r="A3" s="8" t="s">
        <v>54</v>
      </c>
      <c r="B3" s="8" t="s">
        <v>55</v>
      </c>
      <c r="C3" s="8" t="s">
        <v>9</v>
      </c>
      <c r="D3" s="8" t="s">
        <v>14</v>
      </c>
      <c r="E3" s="8" t="s">
        <v>50</v>
      </c>
      <c r="F3" s="8">
        <v>50.0</v>
      </c>
      <c r="G3" s="6">
        <v>98.3</v>
      </c>
      <c r="H3" s="6">
        <f>IFERROR(__xludf.DUMMYFUNCTION("googlefinance(A3,""price"")"),160.69)</f>
        <v>160.69</v>
      </c>
      <c r="I3" s="6">
        <f t="shared" si="1"/>
        <v>8034.5</v>
      </c>
      <c r="J3" s="6">
        <f t="shared" si="2"/>
        <v>4915</v>
      </c>
      <c r="K3" s="6">
        <f t="shared" si="3"/>
        <v>3119.5</v>
      </c>
      <c r="L3" s="7">
        <f t="shared" si="4"/>
        <v>0.6346897253</v>
      </c>
      <c r="M3" s="7">
        <f t="shared" si="5"/>
        <v>0.1695550144</v>
      </c>
      <c r="N3" s="7">
        <v>0.034</v>
      </c>
      <c r="O3" s="8"/>
      <c r="P3" s="8" t="s">
        <v>51</v>
      </c>
      <c r="Q3" s="6">
        <v>130.0</v>
      </c>
      <c r="R3" s="6">
        <v>90.0</v>
      </c>
      <c r="S3" s="8" t="s">
        <v>56</v>
      </c>
      <c r="T3" s="8" t="s">
        <v>57</v>
      </c>
    </row>
    <row r="4">
      <c r="A4" s="8" t="s">
        <v>58</v>
      </c>
      <c r="B4" s="8" t="s">
        <v>59</v>
      </c>
      <c r="C4" s="8" t="s">
        <v>8</v>
      </c>
      <c r="D4" s="8" t="s">
        <v>16</v>
      </c>
      <c r="E4" s="8" t="s">
        <v>60</v>
      </c>
      <c r="F4" s="8">
        <v>40.0</v>
      </c>
      <c r="G4" s="6">
        <v>185.0</v>
      </c>
      <c r="H4" s="6">
        <f>IFERROR(__xludf.DUMMYFUNCTION("googlefinance(A4,""price"")"),429.41)</f>
        <v>429.41</v>
      </c>
      <c r="I4" s="6">
        <f t="shared" si="1"/>
        <v>17176.4</v>
      </c>
      <c r="J4" s="6">
        <f t="shared" si="2"/>
        <v>7400</v>
      </c>
      <c r="K4" s="6">
        <f t="shared" si="3"/>
        <v>9776.4</v>
      </c>
      <c r="L4" s="7">
        <f t="shared" si="4"/>
        <v>1.321135135</v>
      </c>
      <c r="M4" s="7">
        <f t="shared" si="5"/>
        <v>0.362479899</v>
      </c>
      <c r="N4" s="11">
        <v>0.0</v>
      </c>
      <c r="O4" s="8"/>
      <c r="P4" s="8" t="s">
        <v>51</v>
      </c>
      <c r="Q4" s="6"/>
      <c r="R4" s="6"/>
      <c r="S4" s="8" t="s">
        <v>61</v>
      </c>
      <c r="T4" s="8" t="s">
        <v>62</v>
      </c>
    </row>
    <row r="5">
      <c r="A5" s="8" t="s">
        <v>63</v>
      </c>
      <c r="B5" s="8" t="s">
        <v>64</v>
      </c>
      <c r="C5" s="8" t="s">
        <v>8</v>
      </c>
      <c r="D5" s="8" t="s">
        <v>15</v>
      </c>
      <c r="E5" s="8" t="s">
        <v>50</v>
      </c>
      <c r="F5" s="8">
        <v>100.0</v>
      </c>
      <c r="G5" s="6">
        <v>42.15</v>
      </c>
      <c r="H5" s="6">
        <f>IFERROR(__xludf.DUMMYFUNCTION("googlefinance(A5,""price"")"),50.38)</f>
        <v>50.38</v>
      </c>
      <c r="I5" s="6">
        <f t="shared" si="1"/>
        <v>5038</v>
      </c>
      <c r="J5" s="6">
        <f t="shared" si="2"/>
        <v>4215</v>
      </c>
      <c r="K5" s="6">
        <f t="shared" si="3"/>
        <v>823</v>
      </c>
      <c r="L5" s="7">
        <f t="shared" si="4"/>
        <v>0.1952550415</v>
      </c>
      <c r="M5" s="7">
        <f t="shared" si="5"/>
        <v>0.1063187706</v>
      </c>
      <c r="N5" s="7">
        <v>0.015</v>
      </c>
      <c r="O5" s="8"/>
      <c r="P5" s="8" t="s">
        <v>51</v>
      </c>
      <c r="Q5" s="6">
        <v>55.0</v>
      </c>
      <c r="R5" s="6">
        <v>30.0</v>
      </c>
      <c r="S5" s="8" t="s">
        <v>65</v>
      </c>
      <c r="T5" s="8" t="s">
        <v>66</v>
      </c>
    </row>
    <row r="6">
      <c r="A6" s="8" t="s">
        <v>67</v>
      </c>
      <c r="B6" s="8" t="s">
        <v>68</v>
      </c>
      <c r="C6" s="8" t="s">
        <v>9</v>
      </c>
      <c r="D6" s="8" t="s">
        <v>16</v>
      </c>
      <c r="E6" s="8" t="s">
        <v>50</v>
      </c>
      <c r="F6" s="8">
        <v>30.0</v>
      </c>
      <c r="G6" s="6">
        <v>52.4</v>
      </c>
      <c r="H6" s="6">
        <f>IFERROR(__xludf.DUMMYFUNCTION("googlefinance(A6,""price"")"),75.47)</f>
        <v>75.47</v>
      </c>
      <c r="I6" s="6">
        <f t="shared" si="1"/>
        <v>2264.1</v>
      </c>
      <c r="J6" s="6">
        <f t="shared" si="2"/>
        <v>1572</v>
      </c>
      <c r="K6" s="6">
        <f t="shared" si="3"/>
        <v>692.1</v>
      </c>
      <c r="L6" s="7">
        <f t="shared" si="4"/>
        <v>0.4402671756</v>
      </c>
      <c r="M6" s="7">
        <f t="shared" si="5"/>
        <v>0.04778013667</v>
      </c>
      <c r="N6" s="7">
        <v>0.038</v>
      </c>
      <c r="O6" s="8"/>
      <c r="P6" s="8" t="s">
        <v>51</v>
      </c>
      <c r="Q6" s="6">
        <v>75.0</v>
      </c>
      <c r="R6" s="6"/>
      <c r="S6" s="8" t="s">
        <v>69</v>
      </c>
      <c r="T6" s="8" t="s">
        <v>70</v>
      </c>
    </row>
    <row r="7">
      <c r="A7" s="8" t="s">
        <v>71</v>
      </c>
      <c r="B7" s="8" t="s">
        <v>72</v>
      </c>
      <c r="C7" s="8" t="s">
        <v>8</v>
      </c>
      <c r="D7" s="8" t="s">
        <v>14</v>
      </c>
      <c r="E7" s="8" t="s">
        <v>50</v>
      </c>
      <c r="F7" s="8">
        <v>400.0</v>
      </c>
      <c r="G7" s="6">
        <v>5.92</v>
      </c>
      <c r="H7" s="6">
        <f>IFERROR(__xludf.DUMMYFUNCTION("googlefinance(A7,""price"")"),6.15)</f>
        <v>6.15</v>
      </c>
      <c r="I7" s="6">
        <f t="shared" si="1"/>
        <v>2460</v>
      </c>
      <c r="J7" s="6">
        <f t="shared" si="2"/>
        <v>2368</v>
      </c>
      <c r="K7" s="6">
        <f t="shared" si="3"/>
        <v>92</v>
      </c>
      <c r="L7" s="7">
        <f t="shared" si="4"/>
        <v>0.03885135135</v>
      </c>
      <c r="M7" s="7">
        <f t="shared" si="5"/>
        <v>0.05191428656</v>
      </c>
      <c r="N7" s="7">
        <v>0.116</v>
      </c>
      <c r="O7" s="8"/>
      <c r="P7" s="8" t="s">
        <v>51</v>
      </c>
      <c r="Q7" s="6">
        <v>8.0</v>
      </c>
      <c r="R7" s="6">
        <v>5.5</v>
      </c>
      <c r="S7" s="8" t="s">
        <v>56</v>
      </c>
      <c r="T7" s="8" t="s">
        <v>73</v>
      </c>
    </row>
    <row r="8">
      <c r="A8" s="8" t="s">
        <v>74</v>
      </c>
      <c r="B8" s="8" t="s">
        <v>75</v>
      </c>
      <c r="C8" s="8" t="s">
        <v>8</v>
      </c>
      <c r="D8" s="8" t="s">
        <v>16</v>
      </c>
      <c r="E8" s="8" t="s">
        <v>50</v>
      </c>
      <c r="F8" s="8">
        <v>10.0</v>
      </c>
      <c r="G8" s="6">
        <v>131.07</v>
      </c>
      <c r="H8" s="6">
        <f>IFERROR(__xludf.DUMMYFUNCTION("googlefinance(A8,""price"")"),129.97)</f>
        <v>129.97</v>
      </c>
      <c r="I8" s="6">
        <f t="shared" si="1"/>
        <v>1299.7</v>
      </c>
      <c r="J8" s="6">
        <f t="shared" si="2"/>
        <v>1310.7</v>
      </c>
      <c r="K8" s="6">
        <f t="shared" si="3"/>
        <v>-11</v>
      </c>
      <c r="L8" s="7">
        <f t="shared" si="4"/>
        <v>-0.008392462043</v>
      </c>
      <c r="M8" s="7">
        <f t="shared" si="5"/>
        <v>0.02742804807</v>
      </c>
      <c r="N8" s="7">
        <v>0.015</v>
      </c>
      <c r="O8" s="8"/>
      <c r="P8" s="8" t="s">
        <v>51</v>
      </c>
      <c r="Q8" s="6">
        <v>150.0</v>
      </c>
      <c r="R8" s="6">
        <v>124.0</v>
      </c>
      <c r="S8" s="8" t="s">
        <v>26</v>
      </c>
      <c r="T8" s="8" t="s">
        <v>76</v>
      </c>
    </row>
    <row r="9">
      <c r="A9" s="8" t="s">
        <v>77</v>
      </c>
      <c r="B9" s="8" t="s">
        <v>78</v>
      </c>
      <c r="C9" s="8" t="s">
        <v>8</v>
      </c>
      <c r="D9" s="8" t="s">
        <v>18</v>
      </c>
      <c r="E9" s="8" t="s">
        <v>50</v>
      </c>
      <c r="F9" s="8">
        <v>195.0</v>
      </c>
      <c r="G9" s="6">
        <v>23.32</v>
      </c>
      <c r="H9" s="6">
        <f>IFERROR(__xludf.DUMMYFUNCTION("googlefinance(A9,""price"")"),24.18)</f>
        <v>24.18</v>
      </c>
      <c r="I9" s="6">
        <f t="shared" si="1"/>
        <v>4715.1</v>
      </c>
      <c r="J9" s="6">
        <f t="shared" si="2"/>
        <v>4547.4</v>
      </c>
      <c r="K9" s="6">
        <f t="shared" si="3"/>
        <v>167.7</v>
      </c>
      <c r="L9" s="7">
        <f t="shared" si="4"/>
        <v>0.03687821612</v>
      </c>
      <c r="M9" s="7">
        <f t="shared" si="5"/>
        <v>0.09950449291</v>
      </c>
      <c r="N9" s="7">
        <v>0.089</v>
      </c>
      <c r="O9" s="8"/>
      <c r="P9" s="8" t="s">
        <v>51</v>
      </c>
      <c r="Q9" s="6">
        <v>28.0</v>
      </c>
      <c r="R9" s="6">
        <v>22.51</v>
      </c>
      <c r="S9" s="8" t="s">
        <v>56</v>
      </c>
      <c r="T9" s="8" t="s">
        <v>79</v>
      </c>
    </row>
    <row r="10">
      <c r="C10" s="12"/>
      <c r="D10" s="12"/>
      <c r="E10" s="12"/>
      <c r="H10" s="12" t="str">
        <f>IFERROR(__xludf.DUMMYFUNCTION("IF(A10&lt;&gt;"""",googlefinance(A10,""price""),"""")"),"")</f>
        <v/>
      </c>
      <c r="I10" s="12" t="str">
        <f t="shared" ref="I10:I200" si="6">IF(F10&lt;&gt;"",F10*H10,"")</f>
        <v/>
      </c>
      <c r="J10" s="12" t="str">
        <f t="shared" ref="J10:J200" si="7">IF(F10&lt;&gt;"",F10*G10,"")</f>
        <v/>
      </c>
      <c r="K10" s="12" t="str">
        <f t="shared" ref="K10:K200" si="8">IF(J10&lt;&gt;"",I10-J10,"")</f>
        <v/>
      </c>
      <c r="L10" s="12" t="str">
        <f t="shared" ref="L10:L200" si="9">IF(AND(J10&lt;&gt;"",J10&lt;&gt;0),K10/J10,"")</f>
        <v/>
      </c>
      <c r="M10" s="12" t="str">
        <f t="shared" ref="M10:M200" si="10">IF(I10&lt;&gt;"",IF(SUM($I$2:$I$200)&lt;&gt;0,I10/SUM($I$2:$I$200),""),"")</f>
        <v/>
      </c>
      <c r="P10" s="12"/>
    </row>
    <row r="11">
      <c r="A11" s="13"/>
      <c r="C11" s="12"/>
      <c r="D11" s="12"/>
      <c r="E11" s="12"/>
      <c r="H11" s="12" t="str">
        <f>IFERROR(__xludf.DUMMYFUNCTION("IF(A11&lt;&gt;"""",googlefinance(A11,""price""),"""")"),"")</f>
        <v/>
      </c>
      <c r="I11" s="12" t="str">
        <f t="shared" si="6"/>
        <v/>
      </c>
      <c r="J11" s="12" t="str">
        <f t="shared" si="7"/>
        <v/>
      </c>
      <c r="K11" s="12" t="str">
        <f t="shared" si="8"/>
        <v/>
      </c>
      <c r="L11" s="12" t="str">
        <f t="shared" si="9"/>
        <v/>
      </c>
      <c r="M11" s="12" t="str">
        <f t="shared" si="10"/>
        <v/>
      </c>
      <c r="P11" s="12"/>
    </row>
    <row r="12">
      <c r="C12" s="12"/>
      <c r="D12" s="12"/>
      <c r="E12" s="12"/>
      <c r="H12" s="12" t="str">
        <f>IFERROR(__xludf.DUMMYFUNCTION("IF(A12&lt;&gt;"""",googlefinance(A12,""price""),"""")"),"")</f>
        <v/>
      </c>
      <c r="I12" s="12" t="str">
        <f t="shared" si="6"/>
        <v/>
      </c>
      <c r="J12" s="12" t="str">
        <f t="shared" si="7"/>
        <v/>
      </c>
      <c r="K12" s="12" t="str">
        <f t="shared" si="8"/>
        <v/>
      </c>
      <c r="L12" s="12" t="str">
        <f t="shared" si="9"/>
        <v/>
      </c>
      <c r="M12" s="12" t="str">
        <f t="shared" si="10"/>
        <v/>
      </c>
      <c r="P12" s="12"/>
    </row>
    <row r="13">
      <c r="C13" s="12"/>
      <c r="D13" s="12"/>
      <c r="E13" s="12"/>
      <c r="H13" s="12" t="str">
        <f>IFERROR(__xludf.DUMMYFUNCTION("IF(A13&lt;&gt;"""",googlefinance(A13,""price""),"""")"),"")</f>
        <v/>
      </c>
      <c r="I13" s="12" t="str">
        <f t="shared" si="6"/>
        <v/>
      </c>
      <c r="J13" s="12" t="str">
        <f t="shared" si="7"/>
        <v/>
      </c>
      <c r="K13" s="12" t="str">
        <f t="shared" si="8"/>
        <v/>
      </c>
      <c r="L13" s="12" t="str">
        <f t="shared" si="9"/>
        <v/>
      </c>
      <c r="M13" s="12" t="str">
        <f t="shared" si="10"/>
        <v/>
      </c>
      <c r="P13" s="12"/>
    </row>
    <row r="14">
      <c r="C14" s="12"/>
      <c r="D14" s="12"/>
      <c r="E14" s="12"/>
      <c r="H14" s="12" t="str">
        <f>IFERROR(__xludf.DUMMYFUNCTION("IF(A14&lt;&gt;"""",googlefinance(A14,""price""),"""")"),"")</f>
        <v/>
      </c>
      <c r="I14" s="12" t="str">
        <f t="shared" si="6"/>
        <v/>
      </c>
      <c r="J14" s="12" t="str">
        <f t="shared" si="7"/>
        <v/>
      </c>
      <c r="K14" s="12" t="str">
        <f t="shared" si="8"/>
        <v/>
      </c>
      <c r="L14" s="12" t="str">
        <f t="shared" si="9"/>
        <v/>
      </c>
      <c r="M14" s="12" t="str">
        <f t="shared" si="10"/>
        <v/>
      </c>
      <c r="P14" s="12"/>
    </row>
    <row r="15">
      <c r="C15" s="12"/>
      <c r="D15" s="12"/>
      <c r="E15" s="12"/>
      <c r="H15" s="12" t="str">
        <f>IFERROR(__xludf.DUMMYFUNCTION("IF(A15&lt;&gt;"""",googlefinance(A15,""price""),"""")"),"")</f>
        <v/>
      </c>
      <c r="I15" s="12" t="str">
        <f t="shared" si="6"/>
        <v/>
      </c>
      <c r="J15" s="12" t="str">
        <f t="shared" si="7"/>
        <v/>
      </c>
      <c r="K15" s="12" t="str">
        <f t="shared" si="8"/>
        <v/>
      </c>
      <c r="L15" s="12" t="str">
        <f t="shared" si="9"/>
        <v/>
      </c>
      <c r="M15" s="12" t="str">
        <f t="shared" si="10"/>
        <v/>
      </c>
      <c r="P15" s="12"/>
    </row>
    <row r="16">
      <c r="C16" s="12"/>
      <c r="D16" s="12"/>
      <c r="E16" s="12"/>
      <c r="H16" s="12" t="str">
        <f>IFERROR(__xludf.DUMMYFUNCTION("IF(A16&lt;&gt;"""",googlefinance(A16,""price""),"""")"),"")</f>
        <v/>
      </c>
      <c r="I16" s="12" t="str">
        <f t="shared" si="6"/>
        <v/>
      </c>
      <c r="J16" s="12" t="str">
        <f t="shared" si="7"/>
        <v/>
      </c>
      <c r="K16" s="12" t="str">
        <f t="shared" si="8"/>
        <v/>
      </c>
      <c r="L16" s="12" t="str">
        <f t="shared" si="9"/>
        <v/>
      </c>
      <c r="M16" s="12" t="str">
        <f t="shared" si="10"/>
        <v/>
      </c>
      <c r="P16" s="12"/>
    </row>
    <row r="17">
      <c r="C17" s="12"/>
      <c r="D17" s="12"/>
      <c r="E17" s="12"/>
      <c r="H17" s="12" t="str">
        <f>IFERROR(__xludf.DUMMYFUNCTION("IF(A17&lt;&gt;"""",googlefinance(A17,""price""),"""")"),"")</f>
        <v/>
      </c>
      <c r="I17" s="12" t="str">
        <f t="shared" si="6"/>
        <v/>
      </c>
      <c r="J17" s="12" t="str">
        <f t="shared" si="7"/>
        <v/>
      </c>
      <c r="K17" s="12" t="str">
        <f t="shared" si="8"/>
        <v/>
      </c>
      <c r="L17" s="12" t="str">
        <f t="shared" si="9"/>
        <v/>
      </c>
      <c r="M17" s="12" t="str">
        <f t="shared" si="10"/>
        <v/>
      </c>
      <c r="P17" s="12"/>
    </row>
    <row r="18">
      <c r="C18" s="12"/>
      <c r="D18" s="12"/>
      <c r="E18" s="12"/>
      <c r="H18" s="12" t="str">
        <f>IFERROR(__xludf.DUMMYFUNCTION("IF(A18&lt;&gt;"""",googlefinance(A18,""price""),"""")"),"")</f>
        <v/>
      </c>
      <c r="I18" s="12" t="str">
        <f t="shared" si="6"/>
        <v/>
      </c>
      <c r="J18" s="12" t="str">
        <f t="shared" si="7"/>
        <v/>
      </c>
      <c r="K18" s="12" t="str">
        <f t="shared" si="8"/>
        <v/>
      </c>
      <c r="L18" s="12" t="str">
        <f t="shared" si="9"/>
        <v/>
      </c>
      <c r="M18" s="12" t="str">
        <f t="shared" si="10"/>
        <v/>
      </c>
      <c r="P18" s="12"/>
    </row>
    <row r="19">
      <c r="C19" s="12"/>
      <c r="D19" s="12"/>
      <c r="E19" s="12"/>
      <c r="H19" s="12" t="str">
        <f>IFERROR(__xludf.DUMMYFUNCTION("IF(A19&lt;&gt;"""",googlefinance(A19,""price""),"""")"),"")</f>
        <v/>
      </c>
      <c r="I19" s="12" t="str">
        <f t="shared" si="6"/>
        <v/>
      </c>
      <c r="J19" s="12" t="str">
        <f t="shared" si="7"/>
        <v/>
      </c>
      <c r="K19" s="12" t="str">
        <f t="shared" si="8"/>
        <v/>
      </c>
      <c r="L19" s="12" t="str">
        <f t="shared" si="9"/>
        <v/>
      </c>
      <c r="M19" s="12" t="str">
        <f t="shared" si="10"/>
        <v/>
      </c>
      <c r="P19" s="12"/>
    </row>
    <row r="20">
      <c r="C20" s="12"/>
      <c r="D20" s="12"/>
      <c r="E20" s="12"/>
      <c r="H20" s="12" t="str">
        <f>IFERROR(__xludf.DUMMYFUNCTION("IF(A20&lt;&gt;"""",googlefinance(A20,""price""),"""")"),"")</f>
        <v/>
      </c>
      <c r="I20" s="12" t="str">
        <f t="shared" si="6"/>
        <v/>
      </c>
      <c r="J20" s="12" t="str">
        <f t="shared" si="7"/>
        <v/>
      </c>
      <c r="K20" s="12" t="str">
        <f t="shared" si="8"/>
        <v/>
      </c>
      <c r="L20" s="12" t="str">
        <f t="shared" si="9"/>
        <v/>
      </c>
      <c r="M20" s="12" t="str">
        <f t="shared" si="10"/>
        <v/>
      </c>
      <c r="P20" s="12"/>
    </row>
    <row r="21" ht="15.75" customHeight="1">
      <c r="C21" s="12"/>
      <c r="D21" s="12"/>
      <c r="E21" s="12"/>
      <c r="H21" s="12" t="str">
        <f>IFERROR(__xludf.DUMMYFUNCTION("IF(A21&lt;&gt;"""",googlefinance(A21,""price""),"""")"),"")</f>
        <v/>
      </c>
      <c r="I21" s="12" t="str">
        <f t="shared" si="6"/>
        <v/>
      </c>
      <c r="J21" s="12" t="str">
        <f t="shared" si="7"/>
        <v/>
      </c>
      <c r="K21" s="12" t="str">
        <f t="shared" si="8"/>
        <v/>
      </c>
      <c r="L21" s="12" t="str">
        <f t="shared" si="9"/>
        <v/>
      </c>
      <c r="M21" s="12" t="str">
        <f t="shared" si="10"/>
        <v/>
      </c>
      <c r="P21" s="12"/>
    </row>
    <row r="22" ht="15.75" customHeight="1">
      <c r="C22" s="12"/>
      <c r="D22" s="12"/>
      <c r="E22" s="12"/>
      <c r="H22" s="12" t="str">
        <f>IFERROR(__xludf.DUMMYFUNCTION("IF(A22&lt;&gt;"""",googlefinance(A22,""price""),"""")"),"")</f>
        <v/>
      </c>
      <c r="I22" s="12" t="str">
        <f t="shared" si="6"/>
        <v/>
      </c>
      <c r="J22" s="12" t="str">
        <f t="shared" si="7"/>
        <v/>
      </c>
      <c r="K22" s="12" t="str">
        <f t="shared" si="8"/>
        <v/>
      </c>
      <c r="L22" s="12" t="str">
        <f t="shared" si="9"/>
        <v/>
      </c>
      <c r="M22" s="12" t="str">
        <f t="shared" si="10"/>
        <v/>
      </c>
      <c r="P22" s="12"/>
    </row>
    <row r="23" ht="15.75" customHeight="1">
      <c r="C23" s="12"/>
      <c r="D23" s="12"/>
      <c r="E23" s="12"/>
      <c r="H23" s="12" t="str">
        <f>IFERROR(__xludf.DUMMYFUNCTION("IF(A23&lt;&gt;"""",googlefinance(A23,""price""),"""")"),"")</f>
        <v/>
      </c>
      <c r="I23" s="12" t="str">
        <f t="shared" si="6"/>
        <v/>
      </c>
      <c r="J23" s="12" t="str">
        <f t="shared" si="7"/>
        <v/>
      </c>
      <c r="K23" s="12" t="str">
        <f t="shared" si="8"/>
        <v/>
      </c>
      <c r="L23" s="12" t="str">
        <f t="shared" si="9"/>
        <v/>
      </c>
      <c r="M23" s="12" t="str">
        <f t="shared" si="10"/>
        <v/>
      </c>
      <c r="P23" s="12"/>
    </row>
    <row r="24" ht="15.75" customHeight="1">
      <c r="C24" s="12"/>
      <c r="D24" s="12"/>
      <c r="E24" s="12"/>
      <c r="H24" s="12" t="str">
        <f>IFERROR(__xludf.DUMMYFUNCTION("IF(A24&lt;&gt;"""",googlefinance(A24,""price""),"""")"),"")</f>
        <v/>
      </c>
      <c r="I24" s="12" t="str">
        <f t="shared" si="6"/>
        <v/>
      </c>
      <c r="J24" s="12" t="str">
        <f t="shared" si="7"/>
        <v/>
      </c>
      <c r="K24" s="12" t="str">
        <f t="shared" si="8"/>
        <v/>
      </c>
      <c r="L24" s="12" t="str">
        <f t="shared" si="9"/>
        <v/>
      </c>
      <c r="M24" s="12" t="str">
        <f t="shared" si="10"/>
        <v/>
      </c>
      <c r="P24" s="12"/>
    </row>
    <row r="25" ht="15.75" customHeight="1">
      <c r="C25" s="12"/>
      <c r="D25" s="12"/>
      <c r="E25" s="12"/>
      <c r="H25" s="12" t="str">
        <f>IFERROR(__xludf.DUMMYFUNCTION("IF(A25&lt;&gt;"""",googlefinance(A25,""price""),"""")"),"")</f>
        <v/>
      </c>
      <c r="I25" s="12" t="str">
        <f t="shared" si="6"/>
        <v/>
      </c>
      <c r="J25" s="12" t="str">
        <f t="shared" si="7"/>
        <v/>
      </c>
      <c r="K25" s="12" t="str">
        <f t="shared" si="8"/>
        <v/>
      </c>
      <c r="L25" s="12" t="str">
        <f t="shared" si="9"/>
        <v/>
      </c>
      <c r="M25" s="12" t="str">
        <f t="shared" si="10"/>
        <v/>
      </c>
      <c r="P25" s="12"/>
    </row>
    <row r="26" ht="15.75" customHeight="1">
      <c r="C26" s="12"/>
      <c r="D26" s="12"/>
      <c r="E26" s="12"/>
      <c r="H26" s="12" t="str">
        <f>IFERROR(__xludf.DUMMYFUNCTION("IF(A26&lt;&gt;"""",googlefinance(A26,""price""),"""")"),"")</f>
        <v/>
      </c>
      <c r="I26" s="12" t="str">
        <f t="shared" si="6"/>
        <v/>
      </c>
      <c r="J26" s="12" t="str">
        <f t="shared" si="7"/>
        <v/>
      </c>
      <c r="K26" s="12" t="str">
        <f t="shared" si="8"/>
        <v/>
      </c>
      <c r="L26" s="12" t="str">
        <f t="shared" si="9"/>
        <v/>
      </c>
      <c r="M26" s="12" t="str">
        <f t="shared" si="10"/>
        <v/>
      </c>
      <c r="P26" s="12"/>
    </row>
    <row r="27" ht="15.75" customHeight="1">
      <c r="C27" s="12"/>
      <c r="D27" s="12"/>
      <c r="E27" s="12"/>
      <c r="H27" s="12" t="str">
        <f>IFERROR(__xludf.DUMMYFUNCTION("IF(A27&lt;&gt;"""",googlefinance(A27,""price""),"""")"),"")</f>
        <v/>
      </c>
      <c r="I27" s="12" t="str">
        <f t="shared" si="6"/>
        <v/>
      </c>
      <c r="J27" s="12" t="str">
        <f t="shared" si="7"/>
        <v/>
      </c>
      <c r="K27" s="12" t="str">
        <f t="shared" si="8"/>
        <v/>
      </c>
      <c r="L27" s="12" t="str">
        <f t="shared" si="9"/>
        <v/>
      </c>
      <c r="M27" s="12" t="str">
        <f t="shared" si="10"/>
        <v/>
      </c>
      <c r="P27" s="12"/>
    </row>
    <row r="28" ht="15.75" customHeight="1">
      <c r="C28" s="12"/>
      <c r="D28" s="12"/>
      <c r="E28" s="12"/>
      <c r="H28" s="12" t="str">
        <f>IFERROR(__xludf.DUMMYFUNCTION("IF(A28&lt;&gt;"""",googlefinance(A28,""price""),"""")"),"")</f>
        <v/>
      </c>
      <c r="I28" s="12" t="str">
        <f t="shared" si="6"/>
        <v/>
      </c>
      <c r="J28" s="12" t="str">
        <f t="shared" si="7"/>
        <v/>
      </c>
      <c r="K28" s="12" t="str">
        <f t="shared" si="8"/>
        <v/>
      </c>
      <c r="L28" s="12" t="str">
        <f t="shared" si="9"/>
        <v/>
      </c>
      <c r="M28" s="12" t="str">
        <f t="shared" si="10"/>
        <v/>
      </c>
      <c r="P28" s="12"/>
    </row>
    <row r="29" ht="15.75" customHeight="1">
      <c r="C29" s="12"/>
      <c r="D29" s="12"/>
      <c r="E29" s="12"/>
      <c r="H29" s="12" t="str">
        <f>IFERROR(__xludf.DUMMYFUNCTION("IF(A29&lt;&gt;"""",googlefinance(A29,""price""),"""")"),"")</f>
        <v/>
      </c>
      <c r="I29" s="12" t="str">
        <f t="shared" si="6"/>
        <v/>
      </c>
      <c r="J29" s="12" t="str">
        <f t="shared" si="7"/>
        <v/>
      </c>
      <c r="K29" s="12" t="str">
        <f t="shared" si="8"/>
        <v/>
      </c>
      <c r="L29" s="12" t="str">
        <f t="shared" si="9"/>
        <v/>
      </c>
      <c r="M29" s="12" t="str">
        <f t="shared" si="10"/>
        <v/>
      </c>
      <c r="P29" s="12"/>
    </row>
    <row r="30" ht="15.75" customHeight="1">
      <c r="C30" s="12"/>
      <c r="D30" s="12"/>
      <c r="E30" s="12"/>
      <c r="H30" s="12" t="str">
        <f>IFERROR(__xludf.DUMMYFUNCTION("IF(A30&lt;&gt;"""",googlefinance(A30,""price""),"""")"),"")</f>
        <v/>
      </c>
      <c r="I30" s="12" t="str">
        <f t="shared" si="6"/>
        <v/>
      </c>
      <c r="J30" s="12" t="str">
        <f t="shared" si="7"/>
        <v/>
      </c>
      <c r="K30" s="12" t="str">
        <f t="shared" si="8"/>
        <v/>
      </c>
      <c r="L30" s="12" t="str">
        <f t="shared" si="9"/>
        <v/>
      </c>
      <c r="M30" s="12" t="str">
        <f t="shared" si="10"/>
        <v/>
      </c>
      <c r="P30" s="12"/>
    </row>
    <row r="31" ht="15.75" customHeight="1">
      <c r="C31" s="12"/>
      <c r="D31" s="12"/>
      <c r="E31" s="12"/>
      <c r="H31" s="12" t="str">
        <f>IFERROR(__xludf.DUMMYFUNCTION("IF(A31&lt;&gt;"""",googlefinance(A31,""price""),"""")"),"")</f>
        <v/>
      </c>
      <c r="I31" s="12" t="str">
        <f t="shared" si="6"/>
        <v/>
      </c>
      <c r="J31" s="12" t="str">
        <f t="shared" si="7"/>
        <v/>
      </c>
      <c r="K31" s="12" t="str">
        <f t="shared" si="8"/>
        <v/>
      </c>
      <c r="L31" s="12" t="str">
        <f t="shared" si="9"/>
        <v/>
      </c>
      <c r="M31" s="12" t="str">
        <f t="shared" si="10"/>
        <v/>
      </c>
      <c r="P31" s="12"/>
    </row>
    <row r="32" ht="15.75" customHeight="1">
      <c r="C32" s="12"/>
      <c r="D32" s="12"/>
      <c r="E32" s="12"/>
      <c r="H32" s="12" t="str">
        <f>IFERROR(__xludf.DUMMYFUNCTION("IF(A32&lt;&gt;"""",googlefinance(A32,""price""),"""")"),"")</f>
        <v/>
      </c>
      <c r="I32" s="12" t="str">
        <f t="shared" si="6"/>
        <v/>
      </c>
      <c r="J32" s="12" t="str">
        <f t="shared" si="7"/>
        <v/>
      </c>
      <c r="K32" s="12" t="str">
        <f t="shared" si="8"/>
        <v/>
      </c>
      <c r="L32" s="12" t="str">
        <f t="shared" si="9"/>
        <v/>
      </c>
      <c r="M32" s="12" t="str">
        <f t="shared" si="10"/>
        <v/>
      </c>
      <c r="P32" s="12"/>
    </row>
    <row r="33" ht="15.75" customHeight="1">
      <c r="C33" s="12"/>
      <c r="D33" s="12"/>
      <c r="E33" s="12"/>
      <c r="H33" s="12" t="str">
        <f>IFERROR(__xludf.DUMMYFUNCTION("IF(A33&lt;&gt;"""",googlefinance(A33,""price""),"""")"),"")</f>
        <v/>
      </c>
      <c r="I33" s="12" t="str">
        <f t="shared" si="6"/>
        <v/>
      </c>
      <c r="J33" s="12" t="str">
        <f t="shared" si="7"/>
        <v/>
      </c>
      <c r="K33" s="12" t="str">
        <f t="shared" si="8"/>
        <v/>
      </c>
      <c r="L33" s="12" t="str">
        <f t="shared" si="9"/>
        <v/>
      </c>
      <c r="M33" s="12" t="str">
        <f t="shared" si="10"/>
        <v/>
      </c>
      <c r="P33" s="12"/>
    </row>
    <row r="34" ht="15.75" customHeight="1">
      <c r="C34" s="12"/>
      <c r="D34" s="12"/>
      <c r="E34" s="12"/>
      <c r="H34" s="12" t="str">
        <f>IFERROR(__xludf.DUMMYFUNCTION("IF(A34&lt;&gt;"""",googlefinance(A34,""price""),"""")"),"")</f>
        <v/>
      </c>
      <c r="I34" s="12" t="str">
        <f t="shared" si="6"/>
        <v/>
      </c>
      <c r="J34" s="12" t="str">
        <f t="shared" si="7"/>
        <v/>
      </c>
      <c r="K34" s="12" t="str">
        <f t="shared" si="8"/>
        <v/>
      </c>
      <c r="L34" s="12" t="str">
        <f t="shared" si="9"/>
        <v/>
      </c>
      <c r="M34" s="12" t="str">
        <f t="shared" si="10"/>
        <v/>
      </c>
      <c r="P34" s="12"/>
    </row>
    <row r="35" ht="15.75" customHeight="1">
      <c r="C35" s="12"/>
      <c r="D35" s="12"/>
      <c r="E35" s="12"/>
      <c r="H35" s="12" t="str">
        <f>IFERROR(__xludf.DUMMYFUNCTION("IF(A35&lt;&gt;"""",googlefinance(A35,""price""),"""")"),"")</f>
        <v/>
      </c>
      <c r="I35" s="12" t="str">
        <f t="shared" si="6"/>
        <v/>
      </c>
      <c r="J35" s="12" t="str">
        <f t="shared" si="7"/>
        <v/>
      </c>
      <c r="K35" s="12" t="str">
        <f t="shared" si="8"/>
        <v/>
      </c>
      <c r="L35" s="12" t="str">
        <f t="shared" si="9"/>
        <v/>
      </c>
      <c r="M35" s="12" t="str">
        <f t="shared" si="10"/>
        <v/>
      </c>
      <c r="P35" s="12"/>
    </row>
    <row r="36" ht="15.75" customHeight="1">
      <c r="C36" s="12"/>
      <c r="D36" s="12"/>
      <c r="E36" s="12"/>
      <c r="H36" s="12" t="str">
        <f>IFERROR(__xludf.DUMMYFUNCTION("IF(A36&lt;&gt;"""",googlefinance(A36,""price""),"""")"),"")</f>
        <v/>
      </c>
      <c r="I36" s="12" t="str">
        <f t="shared" si="6"/>
        <v/>
      </c>
      <c r="J36" s="12" t="str">
        <f t="shared" si="7"/>
        <v/>
      </c>
      <c r="K36" s="12" t="str">
        <f t="shared" si="8"/>
        <v/>
      </c>
      <c r="L36" s="12" t="str">
        <f t="shared" si="9"/>
        <v/>
      </c>
      <c r="M36" s="12" t="str">
        <f t="shared" si="10"/>
        <v/>
      </c>
      <c r="P36" s="12"/>
    </row>
    <row r="37" ht="15.75" customHeight="1">
      <c r="C37" s="12"/>
      <c r="D37" s="12"/>
      <c r="E37" s="12"/>
      <c r="H37" s="12" t="str">
        <f>IFERROR(__xludf.DUMMYFUNCTION("IF(A37&lt;&gt;"""",googlefinance(A37,""price""),"""")"),"")</f>
        <v/>
      </c>
      <c r="I37" s="12" t="str">
        <f t="shared" si="6"/>
        <v/>
      </c>
      <c r="J37" s="12" t="str">
        <f t="shared" si="7"/>
        <v/>
      </c>
      <c r="K37" s="12" t="str">
        <f t="shared" si="8"/>
        <v/>
      </c>
      <c r="L37" s="12" t="str">
        <f t="shared" si="9"/>
        <v/>
      </c>
      <c r="M37" s="12" t="str">
        <f t="shared" si="10"/>
        <v/>
      </c>
      <c r="P37" s="12"/>
    </row>
    <row r="38" ht="15.75" customHeight="1">
      <c r="C38" s="12"/>
      <c r="D38" s="12"/>
      <c r="E38" s="12"/>
      <c r="H38" s="12" t="str">
        <f>IFERROR(__xludf.DUMMYFUNCTION("IF(A38&lt;&gt;"""",googlefinance(A38,""price""),"""")"),"")</f>
        <v/>
      </c>
      <c r="I38" s="12" t="str">
        <f t="shared" si="6"/>
        <v/>
      </c>
      <c r="J38" s="12" t="str">
        <f t="shared" si="7"/>
        <v/>
      </c>
      <c r="K38" s="12" t="str">
        <f t="shared" si="8"/>
        <v/>
      </c>
      <c r="L38" s="12" t="str">
        <f t="shared" si="9"/>
        <v/>
      </c>
      <c r="M38" s="12" t="str">
        <f t="shared" si="10"/>
        <v/>
      </c>
      <c r="P38" s="12"/>
    </row>
    <row r="39" ht="15.75" customHeight="1">
      <c r="C39" s="12"/>
      <c r="D39" s="12"/>
      <c r="E39" s="12"/>
      <c r="H39" s="12" t="str">
        <f>IFERROR(__xludf.DUMMYFUNCTION("IF(A39&lt;&gt;"""",googlefinance(A39,""price""),"""")"),"")</f>
        <v/>
      </c>
      <c r="I39" s="12" t="str">
        <f t="shared" si="6"/>
        <v/>
      </c>
      <c r="J39" s="12" t="str">
        <f t="shared" si="7"/>
        <v/>
      </c>
      <c r="K39" s="12" t="str">
        <f t="shared" si="8"/>
        <v/>
      </c>
      <c r="L39" s="12" t="str">
        <f t="shared" si="9"/>
        <v/>
      </c>
      <c r="M39" s="12" t="str">
        <f t="shared" si="10"/>
        <v/>
      </c>
      <c r="P39" s="12"/>
    </row>
    <row r="40" ht="15.75" customHeight="1">
      <c r="C40" s="12"/>
      <c r="D40" s="12"/>
      <c r="E40" s="12"/>
      <c r="H40" s="12" t="str">
        <f>IFERROR(__xludf.DUMMYFUNCTION("IF(A40&lt;&gt;"""",googlefinance(A40,""price""),"""")"),"")</f>
        <v/>
      </c>
      <c r="I40" s="12" t="str">
        <f t="shared" si="6"/>
        <v/>
      </c>
      <c r="J40" s="12" t="str">
        <f t="shared" si="7"/>
        <v/>
      </c>
      <c r="K40" s="12" t="str">
        <f t="shared" si="8"/>
        <v/>
      </c>
      <c r="L40" s="12" t="str">
        <f t="shared" si="9"/>
        <v/>
      </c>
      <c r="M40" s="12" t="str">
        <f t="shared" si="10"/>
        <v/>
      </c>
      <c r="P40" s="12"/>
    </row>
    <row r="41" ht="15.75" customHeight="1">
      <c r="C41" s="12"/>
      <c r="D41" s="12"/>
      <c r="E41" s="12"/>
      <c r="H41" s="12" t="str">
        <f>IFERROR(__xludf.DUMMYFUNCTION("IF(A41&lt;&gt;"""",googlefinance(A41,""price""),"""")"),"")</f>
        <v/>
      </c>
      <c r="I41" s="12" t="str">
        <f t="shared" si="6"/>
        <v/>
      </c>
      <c r="J41" s="12" t="str">
        <f t="shared" si="7"/>
        <v/>
      </c>
      <c r="K41" s="12" t="str">
        <f t="shared" si="8"/>
        <v/>
      </c>
      <c r="L41" s="12" t="str">
        <f t="shared" si="9"/>
        <v/>
      </c>
      <c r="M41" s="12" t="str">
        <f t="shared" si="10"/>
        <v/>
      </c>
      <c r="P41" s="12"/>
    </row>
    <row r="42" ht="15.75" customHeight="1">
      <c r="C42" s="12"/>
      <c r="D42" s="12"/>
      <c r="E42" s="12"/>
      <c r="H42" s="12" t="str">
        <f>IFERROR(__xludf.DUMMYFUNCTION("IF(A42&lt;&gt;"""",googlefinance(A42,""price""),"""")"),"")</f>
        <v/>
      </c>
      <c r="I42" s="12" t="str">
        <f t="shared" si="6"/>
        <v/>
      </c>
      <c r="J42" s="12" t="str">
        <f t="shared" si="7"/>
        <v/>
      </c>
      <c r="K42" s="12" t="str">
        <f t="shared" si="8"/>
        <v/>
      </c>
      <c r="L42" s="12" t="str">
        <f t="shared" si="9"/>
        <v/>
      </c>
      <c r="M42" s="12" t="str">
        <f t="shared" si="10"/>
        <v/>
      </c>
      <c r="P42" s="12"/>
    </row>
    <row r="43" ht="15.75" customHeight="1">
      <c r="C43" s="12"/>
      <c r="D43" s="12"/>
      <c r="E43" s="12"/>
      <c r="H43" s="12" t="str">
        <f>IFERROR(__xludf.DUMMYFUNCTION("IF(A43&lt;&gt;"""",googlefinance(A43,""price""),"""")"),"")</f>
        <v/>
      </c>
      <c r="I43" s="12" t="str">
        <f t="shared" si="6"/>
        <v/>
      </c>
      <c r="J43" s="12" t="str">
        <f t="shared" si="7"/>
        <v/>
      </c>
      <c r="K43" s="12" t="str">
        <f t="shared" si="8"/>
        <v/>
      </c>
      <c r="L43" s="12" t="str">
        <f t="shared" si="9"/>
        <v/>
      </c>
      <c r="M43" s="12" t="str">
        <f t="shared" si="10"/>
        <v/>
      </c>
      <c r="P43" s="12"/>
    </row>
    <row r="44" ht="15.75" customHeight="1">
      <c r="C44" s="12"/>
      <c r="D44" s="12"/>
      <c r="E44" s="12"/>
      <c r="H44" s="12" t="str">
        <f>IFERROR(__xludf.DUMMYFUNCTION("IF(A44&lt;&gt;"""",googlefinance(A44,""price""),"""")"),"")</f>
        <v/>
      </c>
      <c r="I44" s="12" t="str">
        <f t="shared" si="6"/>
        <v/>
      </c>
      <c r="J44" s="12" t="str">
        <f t="shared" si="7"/>
        <v/>
      </c>
      <c r="K44" s="12" t="str">
        <f t="shared" si="8"/>
        <v/>
      </c>
      <c r="L44" s="12" t="str">
        <f t="shared" si="9"/>
        <v/>
      </c>
      <c r="M44" s="12" t="str">
        <f t="shared" si="10"/>
        <v/>
      </c>
      <c r="P44" s="12"/>
    </row>
    <row r="45" ht="15.75" customHeight="1">
      <c r="C45" s="12"/>
      <c r="D45" s="12"/>
      <c r="E45" s="12"/>
      <c r="H45" s="12" t="str">
        <f>IFERROR(__xludf.DUMMYFUNCTION("IF(A45&lt;&gt;"""",googlefinance(A45,""price""),"""")"),"")</f>
        <v/>
      </c>
      <c r="I45" s="12" t="str">
        <f t="shared" si="6"/>
        <v/>
      </c>
      <c r="J45" s="12" t="str">
        <f t="shared" si="7"/>
        <v/>
      </c>
      <c r="K45" s="12" t="str">
        <f t="shared" si="8"/>
        <v/>
      </c>
      <c r="L45" s="12" t="str">
        <f t="shared" si="9"/>
        <v/>
      </c>
      <c r="M45" s="12" t="str">
        <f t="shared" si="10"/>
        <v/>
      </c>
      <c r="P45" s="12"/>
    </row>
    <row r="46" ht="15.75" customHeight="1">
      <c r="C46" s="12"/>
      <c r="D46" s="12"/>
      <c r="E46" s="12"/>
      <c r="H46" s="12" t="str">
        <f>IFERROR(__xludf.DUMMYFUNCTION("IF(A46&lt;&gt;"""",googlefinance(A46,""price""),"""")"),"")</f>
        <v/>
      </c>
      <c r="I46" s="12" t="str">
        <f t="shared" si="6"/>
        <v/>
      </c>
      <c r="J46" s="12" t="str">
        <f t="shared" si="7"/>
        <v/>
      </c>
      <c r="K46" s="12" t="str">
        <f t="shared" si="8"/>
        <v/>
      </c>
      <c r="L46" s="12" t="str">
        <f t="shared" si="9"/>
        <v/>
      </c>
      <c r="M46" s="12" t="str">
        <f t="shared" si="10"/>
        <v/>
      </c>
      <c r="P46" s="12"/>
    </row>
    <row r="47" ht="15.75" customHeight="1">
      <c r="C47" s="12"/>
      <c r="D47" s="12"/>
      <c r="E47" s="12"/>
      <c r="H47" s="12" t="str">
        <f>IFERROR(__xludf.DUMMYFUNCTION("IF(A47&lt;&gt;"""",googlefinance(A47,""price""),"""")"),"")</f>
        <v/>
      </c>
      <c r="I47" s="12" t="str">
        <f t="shared" si="6"/>
        <v/>
      </c>
      <c r="J47" s="12" t="str">
        <f t="shared" si="7"/>
        <v/>
      </c>
      <c r="K47" s="12" t="str">
        <f t="shared" si="8"/>
        <v/>
      </c>
      <c r="L47" s="12" t="str">
        <f t="shared" si="9"/>
        <v/>
      </c>
      <c r="M47" s="12" t="str">
        <f t="shared" si="10"/>
        <v/>
      </c>
      <c r="P47" s="12"/>
    </row>
    <row r="48" ht="15.75" customHeight="1">
      <c r="C48" s="12"/>
      <c r="D48" s="12"/>
      <c r="E48" s="12"/>
      <c r="H48" s="12" t="str">
        <f>IFERROR(__xludf.DUMMYFUNCTION("IF(A48&lt;&gt;"""",googlefinance(A48,""price""),"""")"),"")</f>
        <v/>
      </c>
      <c r="I48" s="12" t="str">
        <f t="shared" si="6"/>
        <v/>
      </c>
      <c r="J48" s="12" t="str">
        <f t="shared" si="7"/>
        <v/>
      </c>
      <c r="K48" s="12" t="str">
        <f t="shared" si="8"/>
        <v/>
      </c>
      <c r="L48" s="12" t="str">
        <f t="shared" si="9"/>
        <v/>
      </c>
      <c r="M48" s="12" t="str">
        <f t="shared" si="10"/>
        <v/>
      </c>
      <c r="P48" s="12"/>
    </row>
    <row r="49" ht="15.75" customHeight="1">
      <c r="C49" s="12"/>
      <c r="D49" s="12"/>
      <c r="E49" s="12"/>
      <c r="H49" s="12" t="str">
        <f>IFERROR(__xludf.DUMMYFUNCTION("IF(A49&lt;&gt;"""",googlefinance(A49,""price""),"""")"),"")</f>
        <v/>
      </c>
      <c r="I49" s="12" t="str">
        <f t="shared" si="6"/>
        <v/>
      </c>
      <c r="J49" s="12" t="str">
        <f t="shared" si="7"/>
        <v/>
      </c>
      <c r="K49" s="12" t="str">
        <f t="shared" si="8"/>
        <v/>
      </c>
      <c r="L49" s="12" t="str">
        <f t="shared" si="9"/>
        <v/>
      </c>
      <c r="M49" s="12" t="str">
        <f t="shared" si="10"/>
        <v/>
      </c>
      <c r="P49" s="12"/>
    </row>
    <row r="50" ht="15.75" customHeight="1">
      <c r="C50" s="12"/>
      <c r="D50" s="12"/>
      <c r="E50" s="12"/>
      <c r="H50" s="12" t="str">
        <f>IFERROR(__xludf.DUMMYFUNCTION("IF(A50&lt;&gt;"""",googlefinance(A50,""price""),"""")"),"")</f>
        <v/>
      </c>
      <c r="I50" s="12" t="str">
        <f t="shared" si="6"/>
        <v/>
      </c>
      <c r="J50" s="12" t="str">
        <f t="shared" si="7"/>
        <v/>
      </c>
      <c r="K50" s="12" t="str">
        <f t="shared" si="8"/>
        <v/>
      </c>
      <c r="L50" s="12" t="str">
        <f t="shared" si="9"/>
        <v/>
      </c>
      <c r="M50" s="12" t="str">
        <f t="shared" si="10"/>
        <v/>
      </c>
      <c r="P50" s="12"/>
    </row>
    <row r="51" ht="15.75" customHeight="1">
      <c r="C51" s="12"/>
      <c r="D51" s="12"/>
      <c r="E51" s="12"/>
      <c r="H51" s="12" t="str">
        <f>IFERROR(__xludf.DUMMYFUNCTION("IF(A51&lt;&gt;"""",googlefinance(A51,""price""),"""")"),"")</f>
        <v/>
      </c>
      <c r="I51" s="12" t="str">
        <f t="shared" si="6"/>
        <v/>
      </c>
      <c r="J51" s="12" t="str">
        <f t="shared" si="7"/>
        <v/>
      </c>
      <c r="K51" s="12" t="str">
        <f t="shared" si="8"/>
        <v/>
      </c>
      <c r="L51" s="12" t="str">
        <f t="shared" si="9"/>
        <v/>
      </c>
      <c r="M51" s="12" t="str">
        <f t="shared" si="10"/>
        <v/>
      </c>
      <c r="P51" s="12"/>
    </row>
    <row r="52" ht="15.75" customHeight="1">
      <c r="C52" s="12"/>
      <c r="D52" s="12"/>
      <c r="E52" s="12"/>
      <c r="H52" s="12" t="str">
        <f>IFERROR(__xludf.DUMMYFUNCTION("IF(A52&lt;&gt;"""",googlefinance(A52,""price""),"""")"),"")</f>
        <v/>
      </c>
      <c r="I52" s="12" t="str">
        <f t="shared" si="6"/>
        <v/>
      </c>
      <c r="J52" s="12" t="str">
        <f t="shared" si="7"/>
        <v/>
      </c>
      <c r="K52" s="12" t="str">
        <f t="shared" si="8"/>
        <v/>
      </c>
      <c r="L52" s="12" t="str">
        <f t="shared" si="9"/>
        <v/>
      </c>
      <c r="M52" s="12" t="str">
        <f t="shared" si="10"/>
        <v/>
      </c>
      <c r="P52" s="12"/>
    </row>
    <row r="53" ht="15.75" customHeight="1">
      <c r="C53" s="12"/>
      <c r="D53" s="12"/>
      <c r="E53" s="12"/>
      <c r="H53" s="12" t="str">
        <f>IFERROR(__xludf.DUMMYFUNCTION("IF(A53&lt;&gt;"""",googlefinance(A53,""price""),"""")"),"")</f>
        <v/>
      </c>
      <c r="I53" s="12" t="str">
        <f t="shared" si="6"/>
        <v/>
      </c>
      <c r="J53" s="12" t="str">
        <f t="shared" si="7"/>
        <v/>
      </c>
      <c r="K53" s="12" t="str">
        <f t="shared" si="8"/>
        <v/>
      </c>
      <c r="L53" s="12" t="str">
        <f t="shared" si="9"/>
        <v/>
      </c>
      <c r="M53" s="12" t="str">
        <f t="shared" si="10"/>
        <v/>
      </c>
      <c r="P53" s="12"/>
    </row>
    <row r="54" ht="15.75" customHeight="1">
      <c r="C54" s="12"/>
      <c r="D54" s="12"/>
      <c r="E54" s="12"/>
      <c r="H54" s="12" t="str">
        <f>IFERROR(__xludf.DUMMYFUNCTION("IF(A54&lt;&gt;"""",googlefinance(A54,""price""),"""")"),"")</f>
        <v/>
      </c>
      <c r="I54" s="12" t="str">
        <f t="shared" si="6"/>
        <v/>
      </c>
      <c r="J54" s="12" t="str">
        <f t="shared" si="7"/>
        <v/>
      </c>
      <c r="K54" s="12" t="str">
        <f t="shared" si="8"/>
        <v/>
      </c>
      <c r="L54" s="12" t="str">
        <f t="shared" si="9"/>
        <v/>
      </c>
      <c r="M54" s="12" t="str">
        <f t="shared" si="10"/>
        <v/>
      </c>
      <c r="P54" s="12"/>
    </row>
    <row r="55" ht="15.75" customHeight="1">
      <c r="C55" s="12"/>
      <c r="D55" s="12"/>
      <c r="E55" s="12"/>
      <c r="H55" s="12" t="str">
        <f>IFERROR(__xludf.DUMMYFUNCTION("IF(A55&lt;&gt;"""",googlefinance(A55,""price""),"""")"),"")</f>
        <v/>
      </c>
      <c r="I55" s="12" t="str">
        <f t="shared" si="6"/>
        <v/>
      </c>
      <c r="J55" s="12" t="str">
        <f t="shared" si="7"/>
        <v/>
      </c>
      <c r="K55" s="12" t="str">
        <f t="shared" si="8"/>
        <v/>
      </c>
      <c r="L55" s="12" t="str">
        <f t="shared" si="9"/>
        <v/>
      </c>
      <c r="M55" s="12" t="str">
        <f t="shared" si="10"/>
        <v/>
      </c>
      <c r="P55" s="12"/>
    </row>
    <row r="56" ht="15.75" customHeight="1">
      <c r="C56" s="12"/>
      <c r="D56" s="12"/>
      <c r="E56" s="12"/>
      <c r="H56" s="12" t="str">
        <f>IFERROR(__xludf.DUMMYFUNCTION("IF(A56&lt;&gt;"""",googlefinance(A56,""price""),"""")"),"")</f>
        <v/>
      </c>
      <c r="I56" s="12" t="str">
        <f t="shared" si="6"/>
        <v/>
      </c>
      <c r="J56" s="12" t="str">
        <f t="shared" si="7"/>
        <v/>
      </c>
      <c r="K56" s="12" t="str">
        <f t="shared" si="8"/>
        <v/>
      </c>
      <c r="L56" s="12" t="str">
        <f t="shared" si="9"/>
        <v/>
      </c>
      <c r="M56" s="12" t="str">
        <f t="shared" si="10"/>
        <v/>
      </c>
      <c r="P56" s="12"/>
    </row>
    <row r="57" ht="15.75" customHeight="1">
      <c r="C57" s="12"/>
      <c r="D57" s="12"/>
      <c r="E57" s="12"/>
      <c r="H57" s="12" t="str">
        <f>IFERROR(__xludf.DUMMYFUNCTION("IF(A57&lt;&gt;"""",googlefinance(A57,""price""),"""")"),"")</f>
        <v/>
      </c>
      <c r="I57" s="12" t="str">
        <f t="shared" si="6"/>
        <v/>
      </c>
      <c r="J57" s="12" t="str">
        <f t="shared" si="7"/>
        <v/>
      </c>
      <c r="K57" s="12" t="str">
        <f t="shared" si="8"/>
        <v/>
      </c>
      <c r="L57" s="12" t="str">
        <f t="shared" si="9"/>
        <v/>
      </c>
      <c r="M57" s="12" t="str">
        <f t="shared" si="10"/>
        <v/>
      </c>
      <c r="P57" s="12"/>
    </row>
    <row r="58" ht="15.75" customHeight="1">
      <c r="C58" s="12"/>
      <c r="D58" s="12"/>
      <c r="E58" s="12"/>
      <c r="H58" s="12" t="str">
        <f>IFERROR(__xludf.DUMMYFUNCTION("IF(A58&lt;&gt;"""",googlefinance(A58,""price""),"""")"),"")</f>
        <v/>
      </c>
      <c r="I58" s="12" t="str">
        <f t="shared" si="6"/>
        <v/>
      </c>
      <c r="J58" s="12" t="str">
        <f t="shared" si="7"/>
        <v/>
      </c>
      <c r="K58" s="12" t="str">
        <f t="shared" si="8"/>
        <v/>
      </c>
      <c r="L58" s="12" t="str">
        <f t="shared" si="9"/>
        <v/>
      </c>
      <c r="M58" s="12" t="str">
        <f t="shared" si="10"/>
        <v/>
      </c>
      <c r="P58" s="12"/>
    </row>
    <row r="59" ht="15.75" customHeight="1">
      <c r="C59" s="12"/>
      <c r="D59" s="12"/>
      <c r="E59" s="12"/>
      <c r="H59" s="12" t="str">
        <f>IFERROR(__xludf.DUMMYFUNCTION("IF(A59&lt;&gt;"""",googlefinance(A59,""price""),"""")"),"")</f>
        <v/>
      </c>
      <c r="I59" s="12" t="str">
        <f t="shared" si="6"/>
        <v/>
      </c>
      <c r="J59" s="12" t="str">
        <f t="shared" si="7"/>
        <v/>
      </c>
      <c r="K59" s="12" t="str">
        <f t="shared" si="8"/>
        <v/>
      </c>
      <c r="L59" s="12" t="str">
        <f t="shared" si="9"/>
        <v/>
      </c>
      <c r="M59" s="12" t="str">
        <f t="shared" si="10"/>
        <v/>
      </c>
      <c r="P59" s="12"/>
    </row>
    <row r="60" ht="15.75" customHeight="1">
      <c r="C60" s="12"/>
      <c r="D60" s="12"/>
      <c r="E60" s="12"/>
      <c r="H60" s="12" t="str">
        <f>IFERROR(__xludf.DUMMYFUNCTION("IF(A60&lt;&gt;"""",googlefinance(A60,""price""),"""")"),"")</f>
        <v/>
      </c>
      <c r="I60" s="12" t="str">
        <f t="shared" si="6"/>
        <v/>
      </c>
      <c r="J60" s="12" t="str">
        <f t="shared" si="7"/>
        <v/>
      </c>
      <c r="K60" s="12" t="str">
        <f t="shared" si="8"/>
        <v/>
      </c>
      <c r="L60" s="12" t="str">
        <f t="shared" si="9"/>
        <v/>
      </c>
      <c r="M60" s="12" t="str">
        <f t="shared" si="10"/>
        <v/>
      </c>
      <c r="P60" s="12"/>
    </row>
    <row r="61" ht="15.75" customHeight="1">
      <c r="C61" s="12"/>
      <c r="D61" s="12"/>
      <c r="E61" s="12"/>
      <c r="H61" s="12" t="str">
        <f>IFERROR(__xludf.DUMMYFUNCTION("IF(A61&lt;&gt;"""",googlefinance(A61,""price""),"""")"),"")</f>
        <v/>
      </c>
      <c r="I61" s="12" t="str">
        <f t="shared" si="6"/>
        <v/>
      </c>
      <c r="J61" s="12" t="str">
        <f t="shared" si="7"/>
        <v/>
      </c>
      <c r="K61" s="12" t="str">
        <f t="shared" si="8"/>
        <v/>
      </c>
      <c r="L61" s="12" t="str">
        <f t="shared" si="9"/>
        <v/>
      </c>
      <c r="M61" s="12" t="str">
        <f t="shared" si="10"/>
        <v/>
      </c>
      <c r="P61" s="12"/>
    </row>
    <row r="62" ht="15.75" customHeight="1">
      <c r="C62" s="12"/>
      <c r="D62" s="12"/>
      <c r="E62" s="12"/>
      <c r="H62" s="12" t="str">
        <f>IFERROR(__xludf.DUMMYFUNCTION("IF(A62&lt;&gt;"""",googlefinance(A62,""price""),"""")"),"")</f>
        <v/>
      </c>
      <c r="I62" s="12" t="str">
        <f t="shared" si="6"/>
        <v/>
      </c>
      <c r="J62" s="12" t="str">
        <f t="shared" si="7"/>
        <v/>
      </c>
      <c r="K62" s="12" t="str">
        <f t="shared" si="8"/>
        <v/>
      </c>
      <c r="L62" s="12" t="str">
        <f t="shared" si="9"/>
        <v/>
      </c>
      <c r="M62" s="12" t="str">
        <f t="shared" si="10"/>
        <v/>
      </c>
      <c r="P62" s="12"/>
    </row>
    <row r="63" ht="15.75" customHeight="1">
      <c r="C63" s="12"/>
      <c r="D63" s="12"/>
      <c r="E63" s="12"/>
      <c r="H63" s="12" t="str">
        <f>IFERROR(__xludf.DUMMYFUNCTION("IF(A63&lt;&gt;"""",googlefinance(A63,""price""),"""")"),"")</f>
        <v/>
      </c>
      <c r="I63" s="12" t="str">
        <f t="shared" si="6"/>
        <v/>
      </c>
      <c r="J63" s="12" t="str">
        <f t="shared" si="7"/>
        <v/>
      </c>
      <c r="K63" s="12" t="str">
        <f t="shared" si="8"/>
        <v/>
      </c>
      <c r="L63" s="12" t="str">
        <f t="shared" si="9"/>
        <v/>
      </c>
      <c r="M63" s="12" t="str">
        <f t="shared" si="10"/>
        <v/>
      </c>
      <c r="P63" s="12"/>
    </row>
    <row r="64" ht="15.75" customHeight="1">
      <c r="C64" s="12"/>
      <c r="D64" s="12"/>
      <c r="E64" s="12"/>
      <c r="H64" s="12" t="str">
        <f>IFERROR(__xludf.DUMMYFUNCTION("IF(A64&lt;&gt;"""",googlefinance(A64,""price""),"""")"),"")</f>
        <v/>
      </c>
      <c r="I64" s="12" t="str">
        <f t="shared" si="6"/>
        <v/>
      </c>
      <c r="J64" s="12" t="str">
        <f t="shared" si="7"/>
        <v/>
      </c>
      <c r="K64" s="12" t="str">
        <f t="shared" si="8"/>
        <v/>
      </c>
      <c r="L64" s="12" t="str">
        <f t="shared" si="9"/>
        <v/>
      </c>
      <c r="M64" s="12" t="str">
        <f t="shared" si="10"/>
        <v/>
      </c>
      <c r="P64" s="12"/>
    </row>
    <row r="65" ht="15.75" customHeight="1">
      <c r="C65" s="12"/>
      <c r="D65" s="12"/>
      <c r="E65" s="12"/>
      <c r="H65" s="12" t="str">
        <f>IFERROR(__xludf.DUMMYFUNCTION("IF(A65&lt;&gt;"""",googlefinance(A65,""price""),"""")"),"")</f>
        <v/>
      </c>
      <c r="I65" s="12" t="str">
        <f t="shared" si="6"/>
        <v/>
      </c>
      <c r="J65" s="12" t="str">
        <f t="shared" si="7"/>
        <v/>
      </c>
      <c r="K65" s="12" t="str">
        <f t="shared" si="8"/>
        <v/>
      </c>
      <c r="L65" s="12" t="str">
        <f t="shared" si="9"/>
        <v/>
      </c>
      <c r="M65" s="12" t="str">
        <f t="shared" si="10"/>
        <v/>
      </c>
      <c r="P65" s="12"/>
    </row>
    <row r="66" ht="15.75" customHeight="1">
      <c r="C66" s="12"/>
      <c r="D66" s="12"/>
      <c r="E66" s="12"/>
      <c r="H66" s="12" t="str">
        <f>IFERROR(__xludf.DUMMYFUNCTION("IF(A66&lt;&gt;"""",googlefinance(A66,""price""),"""")"),"")</f>
        <v/>
      </c>
      <c r="I66" s="12" t="str">
        <f t="shared" si="6"/>
        <v/>
      </c>
      <c r="J66" s="12" t="str">
        <f t="shared" si="7"/>
        <v/>
      </c>
      <c r="K66" s="12" t="str">
        <f t="shared" si="8"/>
        <v/>
      </c>
      <c r="L66" s="12" t="str">
        <f t="shared" si="9"/>
        <v/>
      </c>
      <c r="M66" s="12" t="str">
        <f t="shared" si="10"/>
        <v/>
      </c>
      <c r="P66" s="12"/>
    </row>
    <row r="67" ht="15.75" customHeight="1">
      <c r="C67" s="12"/>
      <c r="D67" s="12"/>
      <c r="E67" s="12"/>
      <c r="H67" s="12" t="str">
        <f>IFERROR(__xludf.DUMMYFUNCTION("IF(A67&lt;&gt;"""",googlefinance(A67,""price""),"""")"),"")</f>
        <v/>
      </c>
      <c r="I67" s="12" t="str">
        <f t="shared" si="6"/>
        <v/>
      </c>
      <c r="J67" s="12" t="str">
        <f t="shared" si="7"/>
        <v/>
      </c>
      <c r="K67" s="12" t="str">
        <f t="shared" si="8"/>
        <v/>
      </c>
      <c r="L67" s="12" t="str">
        <f t="shared" si="9"/>
        <v/>
      </c>
      <c r="M67" s="12" t="str">
        <f t="shared" si="10"/>
        <v/>
      </c>
      <c r="P67" s="12"/>
    </row>
    <row r="68" ht="15.75" customHeight="1">
      <c r="C68" s="12"/>
      <c r="D68" s="12"/>
      <c r="E68" s="12"/>
      <c r="H68" s="12" t="str">
        <f>IFERROR(__xludf.DUMMYFUNCTION("IF(A68&lt;&gt;"""",googlefinance(A68,""price""),"""")"),"")</f>
        <v/>
      </c>
      <c r="I68" s="12" t="str">
        <f t="shared" si="6"/>
        <v/>
      </c>
      <c r="J68" s="12" t="str">
        <f t="shared" si="7"/>
        <v/>
      </c>
      <c r="K68" s="12" t="str">
        <f t="shared" si="8"/>
        <v/>
      </c>
      <c r="L68" s="12" t="str">
        <f t="shared" si="9"/>
        <v/>
      </c>
      <c r="M68" s="12" t="str">
        <f t="shared" si="10"/>
        <v/>
      </c>
      <c r="P68" s="12"/>
    </row>
    <row r="69" ht="15.75" customHeight="1">
      <c r="C69" s="12"/>
      <c r="D69" s="12"/>
      <c r="E69" s="12"/>
      <c r="H69" s="12" t="str">
        <f>IFERROR(__xludf.DUMMYFUNCTION("IF(A69&lt;&gt;"""",googlefinance(A69,""price""),"""")"),"")</f>
        <v/>
      </c>
      <c r="I69" s="12" t="str">
        <f t="shared" si="6"/>
        <v/>
      </c>
      <c r="J69" s="12" t="str">
        <f t="shared" si="7"/>
        <v/>
      </c>
      <c r="K69" s="12" t="str">
        <f t="shared" si="8"/>
        <v/>
      </c>
      <c r="L69" s="12" t="str">
        <f t="shared" si="9"/>
        <v/>
      </c>
      <c r="M69" s="12" t="str">
        <f t="shared" si="10"/>
        <v/>
      </c>
      <c r="P69" s="12"/>
    </row>
    <row r="70" ht="15.75" customHeight="1">
      <c r="C70" s="12"/>
      <c r="D70" s="12"/>
      <c r="E70" s="12"/>
      <c r="H70" s="12" t="str">
        <f>IFERROR(__xludf.DUMMYFUNCTION("IF(A70&lt;&gt;"""",googlefinance(A70,""price""),"""")"),"")</f>
        <v/>
      </c>
      <c r="I70" s="12" t="str">
        <f t="shared" si="6"/>
        <v/>
      </c>
      <c r="J70" s="12" t="str">
        <f t="shared" si="7"/>
        <v/>
      </c>
      <c r="K70" s="12" t="str">
        <f t="shared" si="8"/>
        <v/>
      </c>
      <c r="L70" s="12" t="str">
        <f t="shared" si="9"/>
        <v/>
      </c>
      <c r="M70" s="12" t="str">
        <f t="shared" si="10"/>
        <v/>
      </c>
      <c r="P70" s="12"/>
    </row>
    <row r="71" ht="15.75" customHeight="1">
      <c r="C71" s="12"/>
      <c r="D71" s="12"/>
      <c r="E71" s="12"/>
      <c r="H71" s="12" t="str">
        <f>IFERROR(__xludf.DUMMYFUNCTION("IF(A71&lt;&gt;"""",googlefinance(A71,""price""),"""")"),"")</f>
        <v/>
      </c>
      <c r="I71" s="12" t="str">
        <f t="shared" si="6"/>
        <v/>
      </c>
      <c r="J71" s="12" t="str">
        <f t="shared" si="7"/>
        <v/>
      </c>
      <c r="K71" s="12" t="str">
        <f t="shared" si="8"/>
        <v/>
      </c>
      <c r="L71" s="12" t="str">
        <f t="shared" si="9"/>
        <v/>
      </c>
      <c r="M71" s="12" t="str">
        <f t="shared" si="10"/>
        <v/>
      </c>
      <c r="P71" s="12"/>
    </row>
    <row r="72" ht="15.75" customHeight="1">
      <c r="C72" s="12"/>
      <c r="D72" s="12"/>
      <c r="E72" s="12"/>
      <c r="H72" s="12" t="str">
        <f>IFERROR(__xludf.DUMMYFUNCTION("IF(A72&lt;&gt;"""",googlefinance(A72,""price""),"""")"),"")</f>
        <v/>
      </c>
      <c r="I72" s="12" t="str">
        <f t="shared" si="6"/>
        <v/>
      </c>
      <c r="J72" s="12" t="str">
        <f t="shared" si="7"/>
        <v/>
      </c>
      <c r="K72" s="12" t="str">
        <f t="shared" si="8"/>
        <v/>
      </c>
      <c r="L72" s="12" t="str">
        <f t="shared" si="9"/>
        <v/>
      </c>
      <c r="M72" s="12" t="str">
        <f t="shared" si="10"/>
        <v/>
      </c>
      <c r="P72" s="12"/>
    </row>
    <row r="73" ht="15.75" customHeight="1">
      <c r="C73" s="12"/>
      <c r="D73" s="12"/>
      <c r="E73" s="12"/>
      <c r="H73" s="12" t="str">
        <f>IFERROR(__xludf.DUMMYFUNCTION("IF(A73&lt;&gt;"""",googlefinance(A73,""price""),"""")"),"")</f>
        <v/>
      </c>
      <c r="I73" s="12" t="str">
        <f t="shared" si="6"/>
        <v/>
      </c>
      <c r="J73" s="12" t="str">
        <f t="shared" si="7"/>
        <v/>
      </c>
      <c r="K73" s="12" t="str">
        <f t="shared" si="8"/>
        <v/>
      </c>
      <c r="L73" s="12" t="str">
        <f t="shared" si="9"/>
        <v/>
      </c>
      <c r="M73" s="12" t="str">
        <f t="shared" si="10"/>
        <v/>
      </c>
      <c r="P73" s="12"/>
    </row>
    <row r="74" ht="15.75" customHeight="1">
      <c r="C74" s="12"/>
      <c r="D74" s="12"/>
      <c r="E74" s="12"/>
      <c r="H74" s="12" t="str">
        <f>IFERROR(__xludf.DUMMYFUNCTION("IF(A74&lt;&gt;"""",googlefinance(A74,""price""),"""")"),"")</f>
        <v/>
      </c>
      <c r="I74" s="12" t="str">
        <f t="shared" si="6"/>
        <v/>
      </c>
      <c r="J74" s="12" t="str">
        <f t="shared" si="7"/>
        <v/>
      </c>
      <c r="K74" s="12" t="str">
        <f t="shared" si="8"/>
        <v/>
      </c>
      <c r="L74" s="12" t="str">
        <f t="shared" si="9"/>
        <v/>
      </c>
      <c r="M74" s="12" t="str">
        <f t="shared" si="10"/>
        <v/>
      </c>
      <c r="P74" s="12"/>
    </row>
    <row r="75" ht="15.75" customHeight="1">
      <c r="C75" s="12"/>
      <c r="D75" s="12"/>
      <c r="E75" s="12"/>
      <c r="H75" s="12" t="str">
        <f>IFERROR(__xludf.DUMMYFUNCTION("IF(A75&lt;&gt;"""",googlefinance(A75,""price""),"""")"),"")</f>
        <v/>
      </c>
      <c r="I75" s="12" t="str">
        <f t="shared" si="6"/>
        <v/>
      </c>
      <c r="J75" s="12" t="str">
        <f t="shared" si="7"/>
        <v/>
      </c>
      <c r="K75" s="12" t="str">
        <f t="shared" si="8"/>
        <v/>
      </c>
      <c r="L75" s="12" t="str">
        <f t="shared" si="9"/>
        <v/>
      </c>
      <c r="M75" s="12" t="str">
        <f t="shared" si="10"/>
        <v/>
      </c>
      <c r="P75" s="12"/>
    </row>
    <row r="76" ht="15.75" customHeight="1">
      <c r="C76" s="12"/>
      <c r="D76" s="12"/>
      <c r="E76" s="12"/>
      <c r="H76" s="12" t="str">
        <f>IFERROR(__xludf.DUMMYFUNCTION("IF(A76&lt;&gt;"""",googlefinance(A76,""price""),"""")"),"")</f>
        <v/>
      </c>
      <c r="I76" s="12" t="str">
        <f t="shared" si="6"/>
        <v/>
      </c>
      <c r="J76" s="12" t="str">
        <f t="shared" si="7"/>
        <v/>
      </c>
      <c r="K76" s="12" t="str">
        <f t="shared" si="8"/>
        <v/>
      </c>
      <c r="L76" s="12" t="str">
        <f t="shared" si="9"/>
        <v/>
      </c>
      <c r="M76" s="12" t="str">
        <f t="shared" si="10"/>
        <v/>
      </c>
      <c r="P76" s="12"/>
    </row>
    <row r="77" ht="15.75" customHeight="1">
      <c r="C77" s="12"/>
      <c r="D77" s="12"/>
      <c r="E77" s="12"/>
      <c r="H77" s="12" t="str">
        <f>IFERROR(__xludf.DUMMYFUNCTION("IF(A77&lt;&gt;"""",googlefinance(A77,""price""),"""")"),"")</f>
        <v/>
      </c>
      <c r="I77" s="12" t="str">
        <f t="shared" si="6"/>
        <v/>
      </c>
      <c r="J77" s="12" t="str">
        <f t="shared" si="7"/>
        <v/>
      </c>
      <c r="K77" s="12" t="str">
        <f t="shared" si="8"/>
        <v/>
      </c>
      <c r="L77" s="12" t="str">
        <f t="shared" si="9"/>
        <v/>
      </c>
      <c r="M77" s="12" t="str">
        <f t="shared" si="10"/>
        <v/>
      </c>
      <c r="P77" s="12"/>
    </row>
    <row r="78" ht="15.75" customHeight="1">
      <c r="C78" s="12"/>
      <c r="D78" s="12"/>
      <c r="E78" s="12"/>
      <c r="H78" s="12" t="str">
        <f>IFERROR(__xludf.DUMMYFUNCTION("IF(A78&lt;&gt;"""",googlefinance(A78,""price""),"""")"),"")</f>
        <v/>
      </c>
      <c r="I78" s="12" t="str">
        <f t="shared" si="6"/>
        <v/>
      </c>
      <c r="J78" s="12" t="str">
        <f t="shared" si="7"/>
        <v/>
      </c>
      <c r="K78" s="12" t="str">
        <f t="shared" si="8"/>
        <v/>
      </c>
      <c r="L78" s="12" t="str">
        <f t="shared" si="9"/>
        <v/>
      </c>
      <c r="M78" s="12" t="str">
        <f t="shared" si="10"/>
        <v/>
      </c>
      <c r="P78" s="12"/>
    </row>
    <row r="79" ht="15.75" customHeight="1">
      <c r="C79" s="12"/>
      <c r="D79" s="12"/>
      <c r="E79" s="12"/>
      <c r="H79" s="12" t="str">
        <f>IFERROR(__xludf.DUMMYFUNCTION("IF(A79&lt;&gt;"""",googlefinance(A79,""price""),"""")"),"")</f>
        <v/>
      </c>
      <c r="I79" s="12" t="str">
        <f t="shared" si="6"/>
        <v/>
      </c>
      <c r="J79" s="12" t="str">
        <f t="shared" si="7"/>
        <v/>
      </c>
      <c r="K79" s="12" t="str">
        <f t="shared" si="8"/>
        <v/>
      </c>
      <c r="L79" s="12" t="str">
        <f t="shared" si="9"/>
        <v/>
      </c>
      <c r="M79" s="12" t="str">
        <f t="shared" si="10"/>
        <v/>
      </c>
      <c r="P79" s="12"/>
    </row>
    <row r="80" ht="15.75" customHeight="1">
      <c r="C80" s="12"/>
      <c r="D80" s="12"/>
      <c r="E80" s="12"/>
      <c r="H80" s="12" t="str">
        <f>IFERROR(__xludf.DUMMYFUNCTION("IF(A80&lt;&gt;"""",googlefinance(A80,""price""),"""")"),"")</f>
        <v/>
      </c>
      <c r="I80" s="12" t="str">
        <f t="shared" si="6"/>
        <v/>
      </c>
      <c r="J80" s="12" t="str">
        <f t="shared" si="7"/>
        <v/>
      </c>
      <c r="K80" s="12" t="str">
        <f t="shared" si="8"/>
        <v/>
      </c>
      <c r="L80" s="12" t="str">
        <f t="shared" si="9"/>
        <v/>
      </c>
      <c r="M80" s="12" t="str">
        <f t="shared" si="10"/>
        <v/>
      </c>
      <c r="P80" s="12"/>
    </row>
    <row r="81" ht="15.75" customHeight="1">
      <c r="C81" s="12"/>
      <c r="D81" s="12"/>
      <c r="E81" s="12"/>
      <c r="H81" s="12" t="str">
        <f>IFERROR(__xludf.DUMMYFUNCTION("IF(A81&lt;&gt;"""",googlefinance(A81,""price""),"""")"),"")</f>
        <v/>
      </c>
      <c r="I81" s="12" t="str">
        <f t="shared" si="6"/>
        <v/>
      </c>
      <c r="J81" s="12" t="str">
        <f t="shared" si="7"/>
        <v/>
      </c>
      <c r="K81" s="12" t="str">
        <f t="shared" si="8"/>
        <v/>
      </c>
      <c r="L81" s="12" t="str">
        <f t="shared" si="9"/>
        <v/>
      </c>
      <c r="M81" s="12" t="str">
        <f t="shared" si="10"/>
        <v/>
      </c>
      <c r="P81" s="12"/>
    </row>
    <row r="82" ht="15.75" customHeight="1">
      <c r="C82" s="12"/>
      <c r="D82" s="12"/>
      <c r="E82" s="12"/>
      <c r="H82" s="12" t="str">
        <f>IFERROR(__xludf.DUMMYFUNCTION("IF(A82&lt;&gt;"""",googlefinance(A82,""price""),"""")"),"")</f>
        <v/>
      </c>
      <c r="I82" s="12" t="str">
        <f t="shared" si="6"/>
        <v/>
      </c>
      <c r="J82" s="12" t="str">
        <f t="shared" si="7"/>
        <v/>
      </c>
      <c r="K82" s="12" t="str">
        <f t="shared" si="8"/>
        <v/>
      </c>
      <c r="L82" s="12" t="str">
        <f t="shared" si="9"/>
        <v/>
      </c>
      <c r="M82" s="12" t="str">
        <f t="shared" si="10"/>
        <v/>
      </c>
      <c r="P82" s="12"/>
    </row>
    <row r="83" ht="15.75" customHeight="1">
      <c r="C83" s="12"/>
      <c r="D83" s="12"/>
      <c r="E83" s="12"/>
      <c r="H83" s="12" t="str">
        <f>IFERROR(__xludf.DUMMYFUNCTION("IF(A83&lt;&gt;"""",googlefinance(A83,""price""),"""")"),"")</f>
        <v/>
      </c>
      <c r="I83" s="12" t="str">
        <f t="shared" si="6"/>
        <v/>
      </c>
      <c r="J83" s="12" t="str">
        <f t="shared" si="7"/>
        <v/>
      </c>
      <c r="K83" s="12" t="str">
        <f t="shared" si="8"/>
        <v/>
      </c>
      <c r="L83" s="12" t="str">
        <f t="shared" si="9"/>
        <v/>
      </c>
      <c r="M83" s="12" t="str">
        <f t="shared" si="10"/>
        <v/>
      </c>
      <c r="P83" s="12"/>
    </row>
    <row r="84" ht="15.75" customHeight="1">
      <c r="C84" s="12"/>
      <c r="D84" s="12"/>
      <c r="E84" s="12"/>
      <c r="H84" s="12" t="str">
        <f>IFERROR(__xludf.DUMMYFUNCTION("IF(A84&lt;&gt;"""",googlefinance(A84,""price""),"""")"),"")</f>
        <v/>
      </c>
      <c r="I84" s="12" t="str">
        <f t="shared" si="6"/>
        <v/>
      </c>
      <c r="J84" s="12" t="str">
        <f t="shared" si="7"/>
        <v/>
      </c>
      <c r="K84" s="12" t="str">
        <f t="shared" si="8"/>
        <v/>
      </c>
      <c r="L84" s="12" t="str">
        <f t="shared" si="9"/>
        <v/>
      </c>
      <c r="M84" s="12" t="str">
        <f t="shared" si="10"/>
        <v/>
      </c>
      <c r="P84" s="12"/>
    </row>
    <row r="85" ht="15.75" customHeight="1">
      <c r="C85" s="12"/>
      <c r="D85" s="12"/>
      <c r="E85" s="12"/>
      <c r="H85" s="12" t="str">
        <f>IFERROR(__xludf.DUMMYFUNCTION("IF(A85&lt;&gt;"""",googlefinance(A85,""price""),"""")"),"")</f>
        <v/>
      </c>
      <c r="I85" s="12" t="str">
        <f t="shared" si="6"/>
        <v/>
      </c>
      <c r="J85" s="12" t="str">
        <f t="shared" si="7"/>
        <v/>
      </c>
      <c r="K85" s="12" t="str">
        <f t="shared" si="8"/>
        <v/>
      </c>
      <c r="L85" s="12" t="str">
        <f t="shared" si="9"/>
        <v/>
      </c>
      <c r="M85" s="12" t="str">
        <f t="shared" si="10"/>
        <v/>
      </c>
      <c r="P85" s="12"/>
    </row>
    <row r="86" ht="15.75" customHeight="1">
      <c r="C86" s="12"/>
      <c r="D86" s="12"/>
      <c r="E86" s="12"/>
      <c r="H86" s="12" t="str">
        <f>IFERROR(__xludf.DUMMYFUNCTION("IF(A86&lt;&gt;"""",googlefinance(A86,""price""),"""")"),"")</f>
        <v/>
      </c>
      <c r="I86" s="12" t="str">
        <f t="shared" si="6"/>
        <v/>
      </c>
      <c r="J86" s="12" t="str">
        <f t="shared" si="7"/>
        <v/>
      </c>
      <c r="K86" s="12" t="str">
        <f t="shared" si="8"/>
        <v/>
      </c>
      <c r="L86" s="12" t="str">
        <f t="shared" si="9"/>
        <v/>
      </c>
      <c r="M86" s="12" t="str">
        <f t="shared" si="10"/>
        <v/>
      </c>
      <c r="P86" s="12"/>
    </row>
    <row r="87" ht="15.75" customHeight="1">
      <c r="C87" s="12"/>
      <c r="D87" s="12"/>
      <c r="E87" s="12"/>
      <c r="H87" s="12" t="str">
        <f>IFERROR(__xludf.DUMMYFUNCTION("IF(A87&lt;&gt;"""",googlefinance(A87,""price""),"""")"),"")</f>
        <v/>
      </c>
      <c r="I87" s="12" t="str">
        <f t="shared" si="6"/>
        <v/>
      </c>
      <c r="J87" s="12" t="str">
        <f t="shared" si="7"/>
        <v/>
      </c>
      <c r="K87" s="12" t="str">
        <f t="shared" si="8"/>
        <v/>
      </c>
      <c r="L87" s="12" t="str">
        <f t="shared" si="9"/>
        <v/>
      </c>
      <c r="M87" s="12" t="str">
        <f t="shared" si="10"/>
        <v/>
      </c>
      <c r="P87" s="12"/>
    </row>
    <row r="88" ht="15.75" customHeight="1">
      <c r="C88" s="12"/>
      <c r="D88" s="12"/>
      <c r="E88" s="12"/>
      <c r="H88" s="12" t="str">
        <f>IFERROR(__xludf.DUMMYFUNCTION("IF(A88&lt;&gt;"""",googlefinance(A88,""price""),"""")"),"")</f>
        <v/>
      </c>
      <c r="I88" s="12" t="str">
        <f t="shared" si="6"/>
        <v/>
      </c>
      <c r="J88" s="12" t="str">
        <f t="shared" si="7"/>
        <v/>
      </c>
      <c r="K88" s="12" t="str">
        <f t="shared" si="8"/>
        <v/>
      </c>
      <c r="L88" s="12" t="str">
        <f t="shared" si="9"/>
        <v/>
      </c>
      <c r="M88" s="12" t="str">
        <f t="shared" si="10"/>
        <v/>
      </c>
      <c r="P88" s="12"/>
    </row>
    <row r="89" ht="15.75" customHeight="1">
      <c r="C89" s="12"/>
      <c r="D89" s="12"/>
      <c r="E89" s="12"/>
      <c r="H89" s="12" t="str">
        <f>IFERROR(__xludf.DUMMYFUNCTION("IF(A89&lt;&gt;"""",googlefinance(A89,""price""),"""")"),"")</f>
        <v/>
      </c>
      <c r="I89" s="12" t="str">
        <f t="shared" si="6"/>
        <v/>
      </c>
      <c r="J89" s="12" t="str">
        <f t="shared" si="7"/>
        <v/>
      </c>
      <c r="K89" s="12" t="str">
        <f t="shared" si="8"/>
        <v/>
      </c>
      <c r="L89" s="12" t="str">
        <f t="shared" si="9"/>
        <v/>
      </c>
      <c r="M89" s="12" t="str">
        <f t="shared" si="10"/>
        <v/>
      </c>
      <c r="P89" s="12"/>
    </row>
    <row r="90" ht="15.75" customHeight="1">
      <c r="C90" s="12"/>
      <c r="D90" s="12"/>
      <c r="E90" s="12"/>
      <c r="H90" s="12" t="str">
        <f>IFERROR(__xludf.DUMMYFUNCTION("IF(A90&lt;&gt;"""",googlefinance(A90,""price""),"""")"),"")</f>
        <v/>
      </c>
      <c r="I90" s="12" t="str">
        <f t="shared" si="6"/>
        <v/>
      </c>
      <c r="J90" s="12" t="str">
        <f t="shared" si="7"/>
        <v/>
      </c>
      <c r="K90" s="12" t="str">
        <f t="shared" si="8"/>
        <v/>
      </c>
      <c r="L90" s="12" t="str">
        <f t="shared" si="9"/>
        <v/>
      </c>
      <c r="M90" s="12" t="str">
        <f t="shared" si="10"/>
        <v/>
      </c>
      <c r="P90" s="12"/>
    </row>
    <row r="91" ht="15.75" customHeight="1">
      <c r="C91" s="12"/>
      <c r="D91" s="12"/>
      <c r="E91" s="12"/>
      <c r="H91" s="12" t="str">
        <f>IFERROR(__xludf.DUMMYFUNCTION("IF(A91&lt;&gt;"""",googlefinance(A91,""price""),"""")"),"")</f>
        <v/>
      </c>
      <c r="I91" s="12" t="str">
        <f t="shared" si="6"/>
        <v/>
      </c>
      <c r="J91" s="12" t="str">
        <f t="shared" si="7"/>
        <v/>
      </c>
      <c r="K91" s="12" t="str">
        <f t="shared" si="8"/>
        <v/>
      </c>
      <c r="L91" s="12" t="str">
        <f t="shared" si="9"/>
        <v/>
      </c>
      <c r="M91" s="12" t="str">
        <f t="shared" si="10"/>
        <v/>
      </c>
      <c r="P91" s="12"/>
    </row>
    <row r="92" ht="15.75" customHeight="1">
      <c r="C92" s="12"/>
      <c r="D92" s="12"/>
      <c r="E92" s="12"/>
      <c r="H92" s="12" t="str">
        <f>IFERROR(__xludf.DUMMYFUNCTION("IF(A92&lt;&gt;"""",googlefinance(A92,""price""),"""")"),"")</f>
        <v/>
      </c>
      <c r="I92" s="12" t="str">
        <f t="shared" si="6"/>
        <v/>
      </c>
      <c r="J92" s="12" t="str">
        <f t="shared" si="7"/>
        <v/>
      </c>
      <c r="K92" s="12" t="str">
        <f t="shared" si="8"/>
        <v/>
      </c>
      <c r="L92" s="12" t="str">
        <f t="shared" si="9"/>
        <v/>
      </c>
      <c r="M92" s="12" t="str">
        <f t="shared" si="10"/>
        <v/>
      </c>
      <c r="P92" s="12"/>
    </row>
    <row r="93" ht="15.75" customHeight="1">
      <c r="C93" s="12"/>
      <c r="D93" s="12"/>
      <c r="E93" s="12"/>
      <c r="H93" s="12" t="str">
        <f>IFERROR(__xludf.DUMMYFUNCTION("IF(A93&lt;&gt;"""",googlefinance(A93,""price""),"""")"),"")</f>
        <v/>
      </c>
      <c r="I93" s="12" t="str">
        <f t="shared" si="6"/>
        <v/>
      </c>
      <c r="J93" s="12" t="str">
        <f t="shared" si="7"/>
        <v/>
      </c>
      <c r="K93" s="12" t="str">
        <f t="shared" si="8"/>
        <v/>
      </c>
      <c r="L93" s="12" t="str">
        <f t="shared" si="9"/>
        <v/>
      </c>
      <c r="M93" s="12" t="str">
        <f t="shared" si="10"/>
        <v/>
      </c>
      <c r="P93" s="12"/>
    </row>
    <row r="94" ht="15.75" customHeight="1">
      <c r="C94" s="12"/>
      <c r="D94" s="12"/>
      <c r="E94" s="12"/>
      <c r="H94" s="12" t="str">
        <f>IFERROR(__xludf.DUMMYFUNCTION("IF(A94&lt;&gt;"""",googlefinance(A94,""price""),"""")"),"")</f>
        <v/>
      </c>
      <c r="I94" s="12" t="str">
        <f t="shared" si="6"/>
        <v/>
      </c>
      <c r="J94" s="12" t="str">
        <f t="shared" si="7"/>
        <v/>
      </c>
      <c r="K94" s="12" t="str">
        <f t="shared" si="8"/>
        <v/>
      </c>
      <c r="L94" s="12" t="str">
        <f t="shared" si="9"/>
        <v/>
      </c>
      <c r="M94" s="12" t="str">
        <f t="shared" si="10"/>
        <v/>
      </c>
      <c r="P94" s="12"/>
    </row>
    <row r="95" ht="15.75" customHeight="1">
      <c r="C95" s="12"/>
      <c r="D95" s="12"/>
      <c r="E95" s="12"/>
      <c r="H95" s="12" t="str">
        <f>IFERROR(__xludf.DUMMYFUNCTION("IF(A95&lt;&gt;"""",googlefinance(A95,""price""),"""")"),"")</f>
        <v/>
      </c>
      <c r="I95" s="12" t="str">
        <f t="shared" si="6"/>
        <v/>
      </c>
      <c r="J95" s="12" t="str">
        <f t="shared" si="7"/>
        <v/>
      </c>
      <c r="K95" s="12" t="str">
        <f t="shared" si="8"/>
        <v/>
      </c>
      <c r="L95" s="12" t="str">
        <f t="shared" si="9"/>
        <v/>
      </c>
      <c r="M95" s="12" t="str">
        <f t="shared" si="10"/>
        <v/>
      </c>
      <c r="P95" s="12"/>
    </row>
    <row r="96" ht="15.75" customHeight="1">
      <c r="C96" s="12"/>
      <c r="D96" s="12"/>
      <c r="E96" s="12"/>
      <c r="H96" s="12" t="str">
        <f>IFERROR(__xludf.DUMMYFUNCTION("IF(A96&lt;&gt;"""",googlefinance(A96,""price""),"""")"),"")</f>
        <v/>
      </c>
      <c r="I96" s="12" t="str">
        <f t="shared" si="6"/>
        <v/>
      </c>
      <c r="J96" s="12" t="str">
        <f t="shared" si="7"/>
        <v/>
      </c>
      <c r="K96" s="12" t="str">
        <f t="shared" si="8"/>
        <v/>
      </c>
      <c r="L96" s="12" t="str">
        <f t="shared" si="9"/>
        <v/>
      </c>
      <c r="M96" s="12" t="str">
        <f t="shared" si="10"/>
        <v/>
      </c>
      <c r="P96" s="12"/>
    </row>
    <row r="97" ht="15.75" customHeight="1">
      <c r="C97" s="12"/>
      <c r="D97" s="12"/>
      <c r="E97" s="12"/>
      <c r="H97" s="12" t="str">
        <f>IFERROR(__xludf.DUMMYFUNCTION("IF(A97&lt;&gt;"""",googlefinance(A97,""price""),"""")"),"")</f>
        <v/>
      </c>
      <c r="I97" s="12" t="str">
        <f t="shared" si="6"/>
        <v/>
      </c>
      <c r="J97" s="12" t="str">
        <f t="shared" si="7"/>
        <v/>
      </c>
      <c r="K97" s="12" t="str">
        <f t="shared" si="8"/>
        <v/>
      </c>
      <c r="L97" s="12" t="str">
        <f t="shared" si="9"/>
        <v/>
      </c>
      <c r="M97" s="12" t="str">
        <f t="shared" si="10"/>
        <v/>
      </c>
      <c r="P97" s="12"/>
    </row>
    <row r="98" ht="15.75" customHeight="1">
      <c r="C98" s="12"/>
      <c r="D98" s="12"/>
      <c r="E98" s="12"/>
      <c r="H98" s="12" t="str">
        <f>IFERROR(__xludf.DUMMYFUNCTION("IF(A98&lt;&gt;"""",googlefinance(A98,""price""),"""")"),"")</f>
        <v/>
      </c>
      <c r="I98" s="12" t="str">
        <f t="shared" si="6"/>
        <v/>
      </c>
      <c r="J98" s="12" t="str">
        <f t="shared" si="7"/>
        <v/>
      </c>
      <c r="K98" s="12" t="str">
        <f t="shared" si="8"/>
        <v/>
      </c>
      <c r="L98" s="12" t="str">
        <f t="shared" si="9"/>
        <v/>
      </c>
      <c r="M98" s="12" t="str">
        <f t="shared" si="10"/>
        <v/>
      </c>
      <c r="P98" s="12"/>
    </row>
    <row r="99" ht="15.75" customHeight="1">
      <c r="C99" s="12"/>
      <c r="D99" s="12"/>
      <c r="E99" s="12"/>
      <c r="H99" s="12" t="str">
        <f>IFERROR(__xludf.DUMMYFUNCTION("IF(A99&lt;&gt;"""",googlefinance(A99,""price""),"""")"),"")</f>
        <v/>
      </c>
      <c r="I99" s="12" t="str">
        <f t="shared" si="6"/>
        <v/>
      </c>
      <c r="J99" s="12" t="str">
        <f t="shared" si="7"/>
        <v/>
      </c>
      <c r="K99" s="12" t="str">
        <f t="shared" si="8"/>
        <v/>
      </c>
      <c r="L99" s="12" t="str">
        <f t="shared" si="9"/>
        <v/>
      </c>
      <c r="M99" s="12" t="str">
        <f t="shared" si="10"/>
        <v/>
      </c>
      <c r="P99" s="12"/>
    </row>
    <row r="100" ht="15.75" customHeight="1">
      <c r="C100" s="12"/>
      <c r="D100" s="12"/>
      <c r="E100" s="12"/>
      <c r="H100" s="12" t="str">
        <f>IFERROR(__xludf.DUMMYFUNCTION("IF(A100&lt;&gt;"""",googlefinance(A100,""price""),"""")"),"")</f>
        <v/>
      </c>
      <c r="I100" s="12" t="str">
        <f t="shared" si="6"/>
        <v/>
      </c>
      <c r="J100" s="12" t="str">
        <f t="shared" si="7"/>
        <v/>
      </c>
      <c r="K100" s="12" t="str">
        <f t="shared" si="8"/>
        <v/>
      </c>
      <c r="L100" s="12" t="str">
        <f t="shared" si="9"/>
        <v/>
      </c>
      <c r="M100" s="12" t="str">
        <f t="shared" si="10"/>
        <v/>
      </c>
      <c r="P100" s="12"/>
    </row>
    <row r="101" ht="15.75" customHeight="1">
      <c r="C101" s="12"/>
      <c r="D101" s="12"/>
      <c r="E101" s="12"/>
      <c r="H101" s="12" t="str">
        <f>IFERROR(__xludf.DUMMYFUNCTION("IF(A101&lt;&gt;"""",googlefinance(A101,""price""),"""")"),"")</f>
        <v/>
      </c>
      <c r="I101" s="12" t="str">
        <f t="shared" si="6"/>
        <v/>
      </c>
      <c r="J101" s="12" t="str">
        <f t="shared" si="7"/>
        <v/>
      </c>
      <c r="K101" s="12" t="str">
        <f t="shared" si="8"/>
        <v/>
      </c>
      <c r="L101" s="12" t="str">
        <f t="shared" si="9"/>
        <v/>
      </c>
      <c r="M101" s="12" t="str">
        <f t="shared" si="10"/>
        <v/>
      </c>
      <c r="P101" s="12"/>
    </row>
    <row r="102" ht="15.75" customHeight="1">
      <c r="C102" s="12"/>
      <c r="D102" s="12"/>
      <c r="E102" s="12"/>
      <c r="H102" s="12" t="str">
        <f>IFERROR(__xludf.DUMMYFUNCTION("IF(A102&lt;&gt;"""",googlefinance(A102,""price""),"""")"),"")</f>
        <v/>
      </c>
      <c r="I102" s="12" t="str">
        <f t="shared" si="6"/>
        <v/>
      </c>
      <c r="J102" s="12" t="str">
        <f t="shared" si="7"/>
        <v/>
      </c>
      <c r="K102" s="12" t="str">
        <f t="shared" si="8"/>
        <v/>
      </c>
      <c r="L102" s="12" t="str">
        <f t="shared" si="9"/>
        <v/>
      </c>
      <c r="M102" s="12" t="str">
        <f t="shared" si="10"/>
        <v/>
      </c>
      <c r="P102" s="12"/>
    </row>
    <row r="103" ht="15.75" customHeight="1">
      <c r="C103" s="12"/>
      <c r="D103" s="12"/>
      <c r="E103" s="12"/>
      <c r="H103" s="12" t="str">
        <f>IFERROR(__xludf.DUMMYFUNCTION("IF(A103&lt;&gt;"""",googlefinance(A103,""price""),"""")"),"")</f>
        <v/>
      </c>
      <c r="I103" s="12" t="str">
        <f t="shared" si="6"/>
        <v/>
      </c>
      <c r="J103" s="12" t="str">
        <f t="shared" si="7"/>
        <v/>
      </c>
      <c r="K103" s="12" t="str">
        <f t="shared" si="8"/>
        <v/>
      </c>
      <c r="L103" s="12" t="str">
        <f t="shared" si="9"/>
        <v/>
      </c>
      <c r="M103" s="12" t="str">
        <f t="shared" si="10"/>
        <v/>
      </c>
      <c r="P103" s="12"/>
    </row>
    <row r="104" ht="15.75" customHeight="1">
      <c r="C104" s="12"/>
      <c r="D104" s="12"/>
      <c r="E104" s="12"/>
      <c r="H104" s="12" t="str">
        <f>IFERROR(__xludf.DUMMYFUNCTION("IF(A104&lt;&gt;"""",googlefinance(A104,""price""),"""")"),"")</f>
        <v/>
      </c>
      <c r="I104" s="12" t="str">
        <f t="shared" si="6"/>
        <v/>
      </c>
      <c r="J104" s="12" t="str">
        <f t="shared" si="7"/>
        <v/>
      </c>
      <c r="K104" s="12" t="str">
        <f t="shared" si="8"/>
        <v/>
      </c>
      <c r="L104" s="12" t="str">
        <f t="shared" si="9"/>
        <v/>
      </c>
      <c r="M104" s="12" t="str">
        <f t="shared" si="10"/>
        <v/>
      </c>
      <c r="P104" s="12"/>
    </row>
    <row r="105" ht="15.75" customHeight="1">
      <c r="C105" s="12"/>
      <c r="D105" s="12"/>
      <c r="E105" s="12"/>
      <c r="H105" s="12" t="str">
        <f>IFERROR(__xludf.DUMMYFUNCTION("IF(A105&lt;&gt;"""",googlefinance(A105,""price""),"""")"),"")</f>
        <v/>
      </c>
      <c r="I105" s="12" t="str">
        <f t="shared" si="6"/>
        <v/>
      </c>
      <c r="J105" s="12" t="str">
        <f t="shared" si="7"/>
        <v/>
      </c>
      <c r="K105" s="12" t="str">
        <f t="shared" si="8"/>
        <v/>
      </c>
      <c r="L105" s="12" t="str">
        <f t="shared" si="9"/>
        <v/>
      </c>
      <c r="M105" s="12" t="str">
        <f t="shared" si="10"/>
        <v/>
      </c>
      <c r="P105" s="12"/>
    </row>
    <row r="106" ht="15.75" customHeight="1">
      <c r="C106" s="12"/>
      <c r="D106" s="12"/>
      <c r="E106" s="12"/>
      <c r="H106" s="12" t="str">
        <f>IFERROR(__xludf.DUMMYFUNCTION("IF(A106&lt;&gt;"""",googlefinance(A106,""price""),"""")"),"")</f>
        <v/>
      </c>
      <c r="I106" s="12" t="str">
        <f t="shared" si="6"/>
        <v/>
      </c>
      <c r="J106" s="12" t="str">
        <f t="shared" si="7"/>
        <v/>
      </c>
      <c r="K106" s="12" t="str">
        <f t="shared" si="8"/>
        <v/>
      </c>
      <c r="L106" s="12" t="str">
        <f t="shared" si="9"/>
        <v/>
      </c>
      <c r="M106" s="12" t="str">
        <f t="shared" si="10"/>
        <v/>
      </c>
      <c r="P106" s="12"/>
    </row>
    <row r="107" ht="15.75" customHeight="1">
      <c r="C107" s="12"/>
      <c r="D107" s="12"/>
      <c r="E107" s="12"/>
      <c r="H107" s="12" t="str">
        <f>IFERROR(__xludf.DUMMYFUNCTION("IF(A107&lt;&gt;"""",googlefinance(A107,""price""),"""")"),"")</f>
        <v/>
      </c>
      <c r="I107" s="12" t="str">
        <f t="shared" si="6"/>
        <v/>
      </c>
      <c r="J107" s="12" t="str">
        <f t="shared" si="7"/>
        <v/>
      </c>
      <c r="K107" s="12" t="str">
        <f t="shared" si="8"/>
        <v/>
      </c>
      <c r="L107" s="12" t="str">
        <f t="shared" si="9"/>
        <v/>
      </c>
      <c r="M107" s="12" t="str">
        <f t="shared" si="10"/>
        <v/>
      </c>
      <c r="P107" s="12"/>
    </row>
    <row r="108" ht="15.75" customHeight="1">
      <c r="C108" s="12"/>
      <c r="D108" s="12"/>
      <c r="E108" s="12"/>
      <c r="H108" s="12" t="str">
        <f>IFERROR(__xludf.DUMMYFUNCTION("IF(A108&lt;&gt;"""",googlefinance(A108,""price""),"""")"),"")</f>
        <v/>
      </c>
      <c r="I108" s="12" t="str">
        <f t="shared" si="6"/>
        <v/>
      </c>
      <c r="J108" s="12" t="str">
        <f t="shared" si="7"/>
        <v/>
      </c>
      <c r="K108" s="12" t="str">
        <f t="shared" si="8"/>
        <v/>
      </c>
      <c r="L108" s="12" t="str">
        <f t="shared" si="9"/>
        <v/>
      </c>
      <c r="M108" s="12" t="str">
        <f t="shared" si="10"/>
        <v/>
      </c>
      <c r="P108" s="12"/>
    </row>
    <row r="109" ht="15.75" customHeight="1">
      <c r="C109" s="12"/>
      <c r="D109" s="12"/>
      <c r="E109" s="12"/>
      <c r="H109" s="12" t="str">
        <f>IFERROR(__xludf.DUMMYFUNCTION("IF(A109&lt;&gt;"""",googlefinance(A109,""price""),"""")"),"")</f>
        <v/>
      </c>
      <c r="I109" s="12" t="str">
        <f t="shared" si="6"/>
        <v/>
      </c>
      <c r="J109" s="12" t="str">
        <f t="shared" si="7"/>
        <v/>
      </c>
      <c r="K109" s="12" t="str">
        <f t="shared" si="8"/>
        <v/>
      </c>
      <c r="L109" s="12" t="str">
        <f t="shared" si="9"/>
        <v/>
      </c>
      <c r="M109" s="12" t="str">
        <f t="shared" si="10"/>
        <v/>
      </c>
      <c r="P109" s="12"/>
    </row>
    <row r="110" ht="15.75" customHeight="1">
      <c r="C110" s="12"/>
      <c r="D110" s="12"/>
      <c r="E110" s="12"/>
      <c r="H110" s="12" t="str">
        <f>IFERROR(__xludf.DUMMYFUNCTION("IF(A110&lt;&gt;"""",googlefinance(A110,""price""),"""")"),"")</f>
        <v/>
      </c>
      <c r="I110" s="12" t="str">
        <f t="shared" si="6"/>
        <v/>
      </c>
      <c r="J110" s="12" t="str">
        <f t="shared" si="7"/>
        <v/>
      </c>
      <c r="K110" s="12" t="str">
        <f t="shared" si="8"/>
        <v/>
      </c>
      <c r="L110" s="12" t="str">
        <f t="shared" si="9"/>
        <v/>
      </c>
      <c r="M110" s="12" t="str">
        <f t="shared" si="10"/>
        <v/>
      </c>
      <c r="P110" s="12"/>
    </row>
    <row r="111" ht="15.75" customHeight="1">
      <c r="C111" s="12"/>
      <c r="D111" s="12"/>
      <c r="E111" s="12"/>
      <c r="H111" s="12" t="str">
        <f>IFERROR(__xludf.DUMMYFUNCTION("IF(A111&lt;&gt;"""",googlefinance(A111,""price""),"""")"),"")</f>
        <v/>
      </c>
      <c r="I111" s="12" t="str">
        <f t="shared" si="6"/>
        <v/>
      </c>
      <c r="J111" s="12" t="str">
        <f t="shared" si="7"/>
        <v/>
      </c>
      <c r="K111" s="12" t="str">
        <f t="shared" si="8"/>
        <v/>
      </c>
      <c r="L111" s="12" t="str">
        <f t="shared" si="9"/>
        <v/>
      </c>
      <c r="M111" s="12" t="str">
        <f t="shared" si="10"/>
        <v/>
      </c>
      <c r="P111" s="12"/>
    </row>
    <row r="112" ht="15.75" customHeight="1">
      <c r="C112" s="12"/>
      <c r="D112" s="12"/>
      <c r="E112" s="12"/>
      <c r="H112" s="12" t="str">
        <f>IFERROR(__xludf.DUMMYFUNCTION("IF(A112&lt;&gt;"""",googlefinance(A112,""price""),"""")"),"")</f>
        <v/>
      </c>
      <c r="I112" s="12" t="str">
        <f t="shared" si="6"/>
        <v/>
      </c>
      <c r="J112" s="12" t="str">
        <f t="shared" si="7"/>
        <v/>
      </c>
      <c r="K112" s="12" t="str">
        <f t="shared" si="8"/>
        <v/>
      </c>
      <c r="L112" s="12" t="str">
        <f t="shared" si="9"/>
        <v/>
      </c>
      <c r="M112" s="12" t="str">
        <f t="shared" si="10"/>
        <v/>
      </c>
      <c r="P112" s="12"/>
    </row>
    <row r="113" ht="15.75" customHeight="1">
      <c r="C113" s="12"/>
      <c r="D113" s="12"/>
      <c r="E113" s="12"/>
      <c r="H113" s="12" t="str">
        <f>IFERROR(__xludf.DUMMYFUNCTION("IF(A113&lt;&gt;"""",googlefinance(A113,""price""),"""")"),"")</f>
        <v/>
      </c>
      <c r="I113" s="12" t="str">
        <f t="shared" si="6"/>
        <v/>
      </c>
      <c r="J113" s="12" t="str">
        <f t="shared" si="7"/>
        <v/>
      </c>
      <c r="K113" s="12" t="str">
        <f t="shared" si="8"/>
        <v/>
      </c>
      <c r="L113" s="12" t="str">
        <f t="shared" si="9"/>
        <v/>
      </c>
      <c r="M113" s="12" t="str">
        <f t="shared" si="10"/>
        <v/>
      </c>
      <c r="P113" s="12"/>
    </row>
    <row r="114" ht="15.75" customHeight="1">
      <c r="C114" s="12"/>
      <c r="D114" s="12"/>
      <c r="E114" s="12"/>
      <c r="H114" s="12" t="str">
        <f>IFERROR(__xludf.DUMMYFUNCTION("IF(A114&lt;&gt;"""",googlefinance(A114,""price""),"""")"),"")</f>
        <v/>
      </c>
      <c r="I114" s="12" t="str">
        <f t="shared" si="6"/>
        <v/>
      </c>
      <c r="J114" s="12" t="str">
        <f t="shared" si="7"/>
        <v/>
      </c>
      <c r="K114" s="12" t="str">
        <f t="shared" si="8"/>
        <v/>
      </c>
      <c r="L114" s="12" t="str">
        <f t="shared" si="9"/>
        <v/>
      </c>
      <c r="M114" s="12" t="str">
        <f t="shared" si="10"/>
        <v/>
      </c>
      <c r="P114" s="12"/>
    </row>
    <row r="115" ht="15.75" customHeight="1">
      <c r="C115" s="12"/>
      <c r="D115" s="12"/>
      <c r="E115" s="12"/>
      <c r="H115" s="12" t="str">
        <f>IFERROR(__xludf.DUMMYFUNCTION("IF(A115&lt;&gt;"""",googlefinance(A115,""price""),"""")"),"")</f>
        <v/>
      </c>
      <c r="I115" s="12" t="str">
        <f t="shared" si="6"/>
        <v/>
      </c>
      <c r="J115" s="12" t="str">
        <f t="shared" si="7"/>
        <v/>
      </c>
      <c r="K115" s="12" t="str">
        <f t="shared" si="8"/>
        <v/>
      </c>
      <c r="L115" s="12" t="str">
        <f t="shared" si="9"/>
        <v/>
      </c>
      <c r="M115" s="12" t="str">
        <f t="shared" si="10"/>
        <v/>
      </c>
      <c r="P115" s="12"/>
    </row>
    <row r="116" ht="15.75" customHeight="1">
      <c r="C116" s="12"/>
      <c r="D116" s="12"/>
      <c r="E116" s="12"/>
      <c r="H116" s="12" t="str">
        <f>IFERROR(__xludf.DUMMYFUNCTION("IF(A116&lt;&gt;"""",googlefinance(A116,""price""),"""")"),"")</f>
        <v/>
      </c>
      <c r="I116" s="12" t="str">
        <f t="shared" si="6"/>
        <v/>
      </c>
      <c r="J116" s="12" t="str">
        <f t="shared" si="7"/>
        <v/>
      </c>
      <c r="K116" s="12" t="str">
        <f t="shared" si="8"/>
        <v/>
      </c>
      <c r="L116" s="12" t="str">
        <f t="shared" si="9"/>
        <v/>
      </c>
      <c r="M116" s="12" t="str">
        <f t="shared" si="10"/>
        <v/>
      </c>
      <c r="P116" s="12"/>
    </row>
    <row r="117" ht="15.75" customHeight="1">
      <c r="C117" s="12"/>
      <c r="D117" s="12"/>
      <c r="E117" s="12"/>
      <c r="H117" s="12" t="str">
        <f>IFERROR(__xludf.DUMMYFUNCTION("IF(A117&lt;&gt;"""",googlefinance(A117,""price""),"""")"),"")</f>
        <v/>
      </c>
      <c r="I117" s="12" t="str">
        <f t="shared" si="6"/>
        <v/>
      </c>
      <c r="J117" s="12" t="str">
        <f t="shared" si="7"/>
        <v/>
      </c>
      <c r="K117" s="12" t="str">
        <f t="shared" si="8"/>
        <v/>
      </c>
      <c r="L117" s="12" t="str">
        <f t="shared" si="9"/>
        <v/>
      </c>
      <c r="M117" s="12" t="str">
        <f t="shared" si="10"/>
        <v/>
      </c>
      <c r="P117" s="12"/>
    </row>
    <row r="118" ht="15.75" customHeight="1">
      <c r="C118" s="12"/>
      <c r="D118" s="12"/>
      <c r="E118" s="12"/>
      <c r="H118" s="12" t="str">
        <f>IFERROR(__xludf.DUMMYFUNCTION("IF(A118&lt;&gt;"""",googlefinance(A118,""price""),"""")"),"")</f>
        <v/>
      </c>
      <c r="I118" s="12" t="str">
        <f t="shared" si="6"/>
        <v/>
      </c>
      <c r="J118" s="12" t="str">
        <f t="shared" si="7"/>
        <v/>
      </c>
      <c r="K118" s="12" t="str">
        <f t="shared" si="8"/>
        <v/>
      </c>
      <c r="L118" s="12" t="str">
        <f t="shared" si="9"/>
        <v/>
      </c>
      <c r="M118" s="12" t="str">
        <f t="shared" si="10"/>
        <v/>
      </c>
      <c r="P118" s="12"/>
    </row>
    <row r="119" ht="15.75" customHeight="1">
      <c r="C119" s="12"/>
      <c r="D119" s="12"/>
      <c r="E119" s="12"/>
      <c r="H119" s="12" t="str">
        <f>IFERROR(__xludf.DUMMYFUNCTION("IF(A119&lt;&gt;"""",googlefinance(A119,""price""),"""")"),"")</f>
        <v/>
      </c>
      <c r="I119" s="12" t="str">
        <f t="shared" si="6"/>
        <v/>
      </c>
      <c r="J119" s="12" t="str">
        <f t="shared" si="7"/>
        <v/>
      </c>
      <c r="K119" s="12" t="str">
        <f t="shared" si="8"/>
        <v/>
      </c>
      <c r="L119" s="12" t="str">
        <f t="shared" si="9"/>
        <v/>
      </c>
      <c r="M119" s="12" t="str">
        <f t="shared" si="10"/>
        <v/>
      </c>
      <c r="P119" s="12"/>
    </row>
    <row r="120" ht="15.75" customHeight="1">
      <c r="C120" s="12"/>
      <c r="D120" s="12"/>
      <c r="E120" s="12"/>
      <c r="H120" s="12" t="str">
        <f>IFERROR(__xludf.DUMMYFUNCTION("IF(A120&lt;&gt;"""",googlefinance(A120,""price""),"""")"),"")</f>
        <v/>
      </c>
      <c r="I120" s="12" t="str">
        <f t="shared" si="6"/>
        <v/>
      </c>
      <c r="J120" s="12" t="str">
        <f t="shared" si="7"/>
        <v/>
      </c>
      <c r="K120" s="12" t="str">
        <f t="shared" si="8"/>
        <v/>
      </c>
      <c r="L120" s="12" t="str">
        <f t="shared" si="9"/>
        <v/>
      </c>
      <c r="M120" s="12" t="str">
        <f t="shared" si="10"/>
        <v/>
      </c>
      <c r="P120" s="12"/>
    </row>
    <row r="121" ht="15.75" customHeight="1">
      <c r="C121" s="12"/>
      <c r="D121" s="12"/>
      <c r="E121" s="12"/>
      <c r="H121" s="12" t="str">
        <f>IFERROR(__xludf.DUMMYFUNCTION("IF(A121&lt;&gt;"""",googlefinance(A121,""price""),"""")"),"")</f>
        <v/>
      </c>
      <c r="I121" s="12" t="str">
        <f t="shared" si="6"/>
        <v/>
      </c>
      <c r="J121" s="12" t="str">
        <f t="shared" si="7"/>
        <v/>
      </c>
      <c r="K121" s="12" t="str">
        <f t="shared" si="8"/>
        <v/>
      </c>
      <c r="L121" s="12" t="str">
        <f t="shared" si="9"/>
        <v/>
      </c>
      <c r="M121" s="12" t="str">
        <f t="shared" si="10"/>
        <v/>
      </c>
      <c r="P121" s="12"/>
    </row>
    <row r="122" ht="15.75" customHeight="1">
      <c r="C122" s="12"/>
      <c r="D122" s="12"/>
      <c r="E122" s="12"/>
      <c r="H122" s="12" t="str">
        <f>IFERROR(__xludf.DUMMYFUNCTION("IF(A122&lt;&gt;"""",googlefinance(A122,""price""),"""")"),"")</f>
        <v/>
      </c>
      <c r="I122" s="12" t="str">
        <f t="shared" si="6"/>
        <v/>
      </c>
      <c r="J122" s="12" t="str">
        <f t="shared" si="7"/>
        <v/>
      </c>
      <c r="K122" s="12" t="str">
        <f t="shared" si="8"/>
        <v/>
      </c>
      <c r="L122" s="12" t="str">
        <f t="shared" si="9"/>
        <v/>
      </c>
      <c r="M122" s="12" t="str">
        <f t="shared" si="10"/>
        <v/>
      </c>
      <c r="P122" s="12"/>
    </row>
    <row r="123" ht="15.75" customHeight="1">
      <c r="C123" s="12"/>
      <c r="D123" s="12"/>
      <c r="E123" s="12"/>
      <c r="H123" s="12" t="str">
        <f>IFERROR(__xludf.DUMMYFUNCTION("IF(A123&lt;&gt;"""",googlefinance(A123,""price""),"""")"),"")</f>
        <v/>
      </c>
      <c r="I123" s="12" t="str">
        <f t="shared" si="6"/>
        <v/>
      </c>
      <c r="J123" s="12" t="str">
        <f t="shared" si="7"/>
        <v/>
      </c>
      <c r="K123" s="12" t="str">
        <f t="shared" si="8"/>
        <v/>
      </c>
      <c r="L123" s="12" t="str">
        <f t="shared" si="9"/>
        <v/>
      </c>
      <c r="M123" s="12" t="str">
        <f t="shared" si="10"/>
        <v/>
      </c>
      <c r="P123" s="12"/>
    </row>
    <row r="124" ht="15.75" customHeight="1">
      <c r="C124" s="12"/>
      <c r="D124" s="12"/>
      <c r="E124" s="12"/>
      <c r="H124" s="12" t="str">
        <f>IFERROR(__xludf.DUMMYFUNCTION("IF(A124&lt;&gt;"""",googlefinance(A124,""price""),"""")"),"")</f>
        <v/>
      </c>
      <c r="I124" s="12" t="str">
        <f t="shared" si="6"/>
        <v/>
      </c>
      <c r="J124" s="12" t="str">
        <f t="shared" si="7"/>
        <v/>
      </c>
      <c r="K124" s="12" t="str">
        <f t="shared" si="8"/>
        <v/>
      </c>
      <c r="L124" s="12" t="str">
        <f t="shared" si="9"/>
        <v/>
      </c>
      <c r="M124" s="12" t="str">
        <f t="shared" si="10"/>
        <v/>
      </c>
      <c r="P124" s="12"/>
    </row>
    <row r="125" ht="15.75" customHeight="1">
      <c r="C125" s="12"/>
      <c r="D125" s="12"/>
      <c r="E125" s="12"/>
      <c r="H125" s="12" t="str">
        <f>IFERROR(__xludf.DUMMYFUNCTION("IF(A125&lt;&gt;"""",googlefinance(A125,""price""),"""")"),"")</f>
        <v/>
      </c>
      <c r="I125" s="12" t="str">
        <f t="shared" si="6"/>
        <v/>
      </c>
      <c r="J125" s="12" t="str">
        <f t="shared" si="7"/>
        <v/>
      </c>
      <c r="K125" s="12" t="str">
        <f t="shared" si="8"/>
        <v/>
      </c>
      <c r="L125" s="12" t="str">
        <f t="shared" si="9"/>
        <v/>
      </c>
      <c r="M125" s="12" t="str">
        <f t="shared" si="10"/>
        <v/>
      </c>
      <c r="P125" s="12"/>
    </row>
    <row r="126" ht="15.75" customHeight="1">
      <c r="C126" s="12"/>
      <c r="D126" s="12"/>
      <c r="E126" s="12"/>
      <c r="H126" s="12" t="str">
        <f>IFERROR(__xludf.DUMMYFUNCTION("IF(A126&lt;&gt;"""",googlefinance(A126,""price""),"""")"),"")</f>
        <v/>
      </c>
      <c r="I126" s="12" t="str">
        <f t="shared" si="6"/>
        <v/>
      </c>
      <c r="J126" s="12" t="str">
        <f t="shared" si="7"/>
        <v/>
      </c>
      <c r="K126" s="12" t="str">
        <f t="shared" si="8"/>
        <v/>
      </c>
      <c r="L126" s="12" t="str">
        <f t="shared" si="9"/>
        <v/>
      </c>
      <c r="M126" s="12" t="str">
        <f t="shared" si="10"/>
        <v/>
      </c>
      <c r="P126" s="12"/>
    </row>
    <row r="127" ht="15.75" customHeight="1">
      <c r="C127" s="12"/>
      <c r="D127" s="12"/>
      <c r="E127" s="12"/>
      <c r="H127" s="12" t="str">
        <f>IFERROR(__xludf.DUMMYFUNCTION("IF(A127&lt;&gt;"""",googlefinance(A127,""price""),"""")"),"")</f>
        <v/>
      </c>
      <c r="I127" s="12" t="str">
        <f t="shared" si="6"/>
        <v/>
      </c>
      <c r="J127" s="12" t="str">
        <f t="shared" si="7"/>
        <v/>
      </c>
      <c r="K127" s="12" t="str">
        <f t="shared" si="8"/>
        <v/>
      </c>
      <c r="L127" s="12" t="str">
        <f t="shared" si="9"/>
        <v/>
      </c>
      <c r="M127" s="12" t="str">
        <f t="shared" si="10"/>
        <v/>
      </c>
      <c r="P127" s="12"/>
    </row>
    <row r="128" ht="15.75" customHeight="1">
      <c r="C128" s="12"/>
      <c r="D128" s="12"/>
      <c r="E128" s="12"/>
      <c r="H128" s="12" t="str">
        <f>IFERROR(__xludf.DUMMYFUNCTION("IF(A128&lt;&gt;"""",googlefinance(A128,""price""),"""")"),"")</f>
        <v/>
      </c>
      <c r="I128" s="12" t="str">
        <f t="shared" si="6"/>
        <v/>
      </c>
      <c r="J128" s="12" t="str">
        <f t="shared" si="7"/>
        <v/>
      </c>
      <c r="K128" s="12" t="str">
        <f t="shared" si="8"/>
        <v/>
      </c>
      <c r="L128" s="12" t="str">
        <f t="shared" si="9"/>
        <v/>
      </c>
      <c r="M128" s="12" t="str">
        <f t="shared" si="10"/>
        <v/>
      </c>
      <c r="P128" s="12"/>
    </row>
    <row r="129" ht="15.75" customHeight="1">
      <c r="C129" s="12"/>
      <c r="D129" s="12"/>
      <c r="E129" s="12"/>
      <c r="H129" s="12" t="str">
        <f>IFERROR(__xludf.DUMMYFUNCTION("IF(A129&lt;&gt;"""",googlefinance(A129,""price""),"""")"),"")</f>
        <v/>
      </c>
      <c r="I129" s="12" t="str">
        <f t="shared" si="6"/>
        <v/>
      </c>
      <c r="J129" s="12" t="str">
        <f t="shared" si="7"/>
        <v/>
      </c>
      <c r="K129" s="12" t="str">
        <f t="shared" si="8"/>
        <v/>
      </c>
      <c r="L129" s="12" t="str">
        <f t="shared" si="9"/>
        <v/>
      </c>
      <c r="M129" s="12" t="str">
        <f t="shared" si="10"/>
        <v/>
      </c>
      <c r="P129" s="12"/>
    </row>
    <row r="130" ht="15.75" customHeight="1">
      <c r="C130" s="12"/>
      <c r="D130" s="12"/>
      <c r="E130" s="12"/>
      <c r="H130" s="12" t="str">
        <f>IFERROR(__xludf.DUMMYFUNCTION("IF(A130&lt;&gt;"""",googlefinance(A130,""price""),"""")"),"")</f>
        <v/>
      </c>
      <c r="I130" s="12" t="str">
        <f t="shared" si="6"/>
        <v/>
      </c>
      <c r="J130" s="12" t="str">
        <f t="shared" si="7"/>
        <v/>
      </c>
      <c r="K130" s="12" t="str">
        <f t="shared" si="8"/>
        <v/>
      </c>
      <c r="L130" s="12" t="str">
        <f t="shared" si="9"/>
        <v/>
      </c>
      <c r="M130" s="12" t="str">
        <f t="shared" si="10"/>
        <v/>
      </c>
      <c r="P130" s="12"/>
    </row>
    <row r="131" ht="15.75" customHeight="1">
      <c r="C131" s="12"/>
      <c r="D131" s="12"/>
      <c r="E131" s="12"/>
      <c r="H131" s="12" t="str">
        <f>IFERROR(__xludf.DUMMYFUNCTION("IF(A131&lt;&gt;"""",googlefinance(A131,""price""),"""")"),"")</f>
        <v/>
      </c>
      <c r="I131" s="12" t="str">
        <f t="shared" si="6"/>
        <v/>
      </c>
      <c r="J131" s="12" t="str">
        <f t="shared" si="7"/>
        <v/>
      </c>
      <c r="K131" s="12" t="str">
        <f t="shared" si="8"/>
        <v/>
      </c>
      <c r="L131" s="12" t="str">
        <f t="shared" si="9"/>
        <v/>
      </c>
      <c r="M131" s="12" t="str">
        <f t="shared" si="10"/>
        <v/>
      </c>
      <c r="P131" s="12"/>
    </row>
    <row r="132" ht="15.75" customHeight="1">
      <c r="C132" s="12"/>
      <c r="D132" s="12"/>
      <c r="E132" s="12"/>
      <c r="H132" s="12" t="str">
        <f>IFERROR(__xludf.DUMMYFUNCTION("IF(A132&lt;&gt;"""",googlefinance(A132,""price""),"""")"),"")</f>
        <v/>
      </c>
      <c r="I132" s="12" t="str">
        <f t="shared" si="6"/>
        <v/>
      </c>
      <c r="J132" s="12" t="str">
        <f t="shared" si="7"/>
        <v/>
      </c>
      <c r="K132" s="12" t="str">
        <f t="shared" si="8"/>
        <v/>
      </c>
      <c r="L132" s="12" t="str">
        <f t="shared" si="9"/>
        <v/>
      </c>
      <c r="M132" s="12" t="str">
        <f t="shared" si="10"/>
        <v/>
      </c>
      <c r="P132" s="12"/>
    </row>
    <row r="133" ht="15.75" customHeight="1">
      <c r="C133" s="12"/>
      <c r="D133" s="12"/>
      <c r="E133" s="12"/>
      <c r="H133" s="12" t="str">
        <f>IFERROR(__xludf.DUMMYFUNCTION("IF(A133&lt;&gt;"""",googlefinance(A133,""price""),"""")"),"")</f>
        <v/>
      </c>
      <c r="I133" s="12" t="str">
        <f t="shared" si="6"/>
        <v/>
      </c>
      <c r="J133" s="12" t="str">
        <f t="shared" si="7"/>
        <v/>
      </c>
      <c r="K133" s="12" t="str">
        <f t="shared" si="8"/>
        <v/>
      </c>
      <c r="L133" s="12" t="str">
        <f t="shared" si="9"/>
        <v/>
      </c>
      <c r="M133" s="12" t="str">
        <f t="shared" si="10"/>
        <v/>
      </c>
      <c r="P133" s="12"/>
    </row>
    <row r="134" ht="15.75" customHeight="1">
      <c r="C134" s="12"/>
      <c r="D134" s="12"/>
      <c r="E134" s="12"/>
      <c r="H134" s="12" t="str">
        <f>IFERROR(__xludf.DUMMYFUNCTION("IF(A134&lt;&gt;"""",googlefinance(A134,""price""),"""")"),"")</f>
        <v/>
      </c>
      <c r="I134" s="12" t="str">
        <f t="shared" si="6"/>
        <v/>
      </c>
      <c r="J134" s="12" t="str">
        <f t="shared" si="7"/>
        <v/>
      </c>
      <c r="K134" s="12" t="str">
        <f t="shared" si="8"/>
        <v/>
      </c>
      <c r="L134" s="12" t="str">
        <f t="shared" si="9"/>
        <v/>
      </c>
      <c r="M134" s="12" t="str">
        <f t="shared" si="10"/>
        <v/>
      </c>
      <c r="P134" s="12"/>
    </row>
    <row r="135" ht="15.75" customHeight="1">
      <c r="C135" s="12"/>
      <c r="D135" s="12"/>
      <c r="E135" s="12"/>
      <c r="H135" s="12" t="str">
        <f>IFERROR(__xludf.DUMMYFUNCTION("IF(A135&lt;&gt;"""",googlefinance(A135,""price""),"""")"),"")</f>
        <v/>
      </c>
      <c r="I135" s="12" t="str">
        <f t="shared" si="6"/>
        <v/>
      </c>
      <c r="J135" s="12" t="str">
        <f t="shared" si="7"/>
        <v/>
      </c>
      <c r="K135" s="12" t="str">
        <f t="shared" si="8"/>
        <v/>
      </c>
      <c r="L135" s="12" t="str">
        <f t="shared" si="9"/>
        <v/>
      </c>
      <c r="M135" s="12" t="str">
        <f t="shared" si="10"/>
        <v/>
      </c>
      <c r="P135" s="12"/>
    </row>
    <row r="136" ht="15.75" customHeight="1">
      <c r="C136" s="12"/>
      <c r="D136" s="12"/>
      <c r="E136" s="12"/>
      <c r="H136" s="12" t="str">
        <f>IFERROR(__xludf.DUMMYFUNCTION("IF(A136&lt;&gt;"""",googlefinance(A136,""price""),"""")"),"")</f>
        <v/>
      </c>
      <c r="I136" s="12" t="str">
        <f t="shared" si="6"/>
        <v/>
      </c>
      <c r="J136" s="12" t="str">
        <f t="shared" si="7"/>
        <v/>
      </c>
      <c r="K136" s="12" t="str">
        <f t="shared" si="8"/>
        <v/>
      </c>
      <c r="L136" s="12" t="str">
        <f t="shared" si="9"/>
        <v/>
      </c>
      <c r="M136" s="12" t="str">
        <f t="shared" si="10"/>
        <v/>
      </c>
      <c r="P136" s="12"/>
    </row>
    <row r="137" ht="15.75" customHeight="1">
      <c r="C137" s="12"/>
      <c r="D137" s="12"/>
      <c r="E137" s="12"/>
      <c r="H137" s="12" t="str">
        <f>IFERROR(__xludf.DUMMYFUNCTION("IF(A137&lt;&gt;"""",googlefinance(A137,""price""),"""")"),"")</f>
        <v/>
      </c>
      <c r="I137" s="12" t="str">
        <f t="shared" si="6"/>
        <v/>
      </c>
      <c r="J137" s="12" t="str">
        <f t="shared" si="7"/>
        <v/>
      </c>
      <c r="K137" s="12" t="str">
        <f t="shared" si="8"/>
        <v/>
      </c>
      <c r="L137" s="12" t="str">
        <f t="shared" si="9"/>
        <v/>
      </c>
      <c r="M137" s="12" t="str">
        <f t="shared" si="10"/>
        <v/>
      </c>
      <c r="P137" s="12"/>
    </row>
    <row r="138" ht="15.75" customHeight="1">
      <c r="C138" s="12"/>
      <c r="D138" s="12"/>
      <c r="E138" s="12"/>
      <c r="H138" s="12" t="str">
        <f>IFERROR(__xludf.DUMMYFUNCTION("IF(A138&lt;&gt;"""",googlefinance(A138,""price""),"""")"),"")</f>
        <v/>
      </c>
      <c r="I138" s="12" t="str">
        <f t="shared" si="6"/>
        <v/>
      </c>
      <c r="J138" s="12" t="str">
        <f t="shared" si="7"/>
        <v/>
      </c>
      <c r="K138" s="12" t="str">
        <f t="shared" si="8"/>
        <v/>
      </c>
      <c r="L138" s="12" t="str">
        <f t="shared" si="9"/>
        <v/>
      </c>
      <c r="M138" s="12" t="str">
        <f t="shared" si="10"/>
        <v/>
      </c>
      <c r="P138" s="12"/>
    </row>
    <row r="139" ht="15.75" customHeight="1">
      <c r="C139" s="12"/>
      <c r="D139" s="12"/>
      <c r="E139" s="12"/>
      <c r="H139" s="12" t="str">
        <f>IFERROR(__xludf.DUMMYFUNCTION("IF(A139&lt;&gt;"""",googlefinance(A139,""price""),"""")"),"")</f>
        <v/>
      </c>
      <c r="I139" s="12" t="str">
        <f t="shared" si="6"/>
        <v/>
      </c>
      <c r="J139" s="12" t="str">
        <f t="shared" si="7"/>
        <v/>
      </c>
      <c r="K139" s="12" t="str">
        <f t="shared" si="8"/>
        <v/>
      </c>
      <c r="L139" s="12" t="str">
        <f t="shared" si="9"/>
        <v/>
      </c>
      <c r="M139" s="12" t="str">
        <f t="shared" si="10"/>
        <v/>
      </c>
      <c r="P139" s="12"/>
    </row>
    <row r="140" ht="15.75" customHeight="1">
      <c r="C140" s="12"/>
      <c r="D140" s="12"/>
      <c r="E140" s="12"/>
      <c r="H140" s="12" t="str">
        <f>IFERROR(__xludf.DUMMYFUNCTION("IF(A140&lt;&gt;"""",googlefinance(A140,""price""),"""")"),"")</f>
        <v/>
      </c>
      <c r="I140" s="12" t="str">
        <f t="shared" si="6"/>
        <v/>
      </c>
      <c r="J140" s="12" t="str">
        <f t="shared" si="7"/>
        <v/>
      </c>
      <c r="K140" s="12" t="str">
        <f t="shared" si="8"/>
        <v/>
      </c>
      <c r="L140" s="12" t="str">
        <f t="shared" si="9"/>
        <v/>
      </c>
      <c r="M140" s="12" t="str">
        <f t="shared" si="10"/>
        <v/>
      </c>
      <c r="P140" s="12"/>
    </row>
    <row r="141" ht="15.75" customHeight="1">
      <c r="C141" s="12"/>
      <c r="D141" s="12"/>
      <c r="E141" s="12"/>
      <c r="H141" s="12" t="str">
        <f>IFERROR(__xludf.DUMMYFUNCTION("IF(A141&lt;&gt;"""",googlefinance(A141,""price""),"""")"),"")</f>
        <v/>
      </c>
      <c r="I141" s="12" t="str">
        <f t="shared" si="6"/>
        <v/>
      </c>
      <c r="J141" s="12" t="str">
        <f t="shared" si="7"/>
        <v/>
      </c>
      <c r="K141" s="12" t="str">
        <f t="shared" si="8"/>
        <v/>
      </c>
      <c r="L141" s="12" t="str">
        <f t="shared" si="9"/>
        <v/>
      </c>
      <c r="M141" s="12" t="str">
        <f t="shared" si="10"/>
        <v/>
      </c>
      <c r="P141" s="12"/>
    </row>
    <row r="142" ht="15.75" customHeight="1">
      <c r="C142" s="12"/>
      <c r="D142" s="12"/>
      <c r="E142" s="12"/>
      <c r="H142" s="12" t="str">
        <f>IFERROR(__xludf.DUMMYFUNCTION("IF(A142&lt;&gt;"""",googlefinance(A142,""price""),"""")"),"")</f>
        <v/>
      </c>
      <c r="I142" s="12" t="str">
        <f t="shared" si="6"/>
        <v/>
      </c>
      <c r="J142" s="12" t="str">
        <f t="shared" si="7"/>
        <v/>
      </c>
      <c r="K142" s="12" t="str">
        <f t="shared" si="8"/>
        <v/>
      </c>
      <c r="L142" s="12" t="str">
        <f t="shared" si="9"/>
        <v/>
      </c>
      <c r="M142" s="12" t="str">
        <f t="shared" si="10"/>
        <v/>
      </c>
      <c r="P142" s="12"/>
    </row>
    <row r="143" ht="15.75" customHeight="1">
      <c r="C143" s="12"/>
      <c r="D143" s="12"/>
      <c r="E143" s="12"/>
      <c r="H143" s="12" t="str">
        <f>IFERROR(__xludf.DUMMYFUNCTION("IF(A143&lt;&gt;"""",googlefinance(A143,""price""),"""")"),"")</f>
        <v/>
      </c>
      <c r="I143" s="12" t="str">
        <f t="shared" si="6"/>
        <v/>
      </c>
      <c r="J143" s="12" t="str">
        <f t="shared" si="7"/>
        <v/>
      </c>
      <c r="K143" s="12" t="str">
        <f t="shared" si="8"/>
        <v/>
      </c>
      <c r="L143" s="12" t="str">
        <f t="shared" si="9"/>
        <v/>
      </c>
      <c r="M143" s="12" t="str">
        <f t="shared" si="10"/>
        <v/>
      </c>
      <c r="P143" s="12"/>
    </row>
    <row r="144" ht="15.75" customHeight="1">
      <c r="C144" s="12"/>
      <c r="D144" s="12"/>
      <c r="E144" s="12"/>
      <c r="H144" s="12" t="str">
        <f>IFERROR(__xludf.DUMMYFUNCTION("IF(A144&lt;&gt;"""",googlefinance(A144,""price""),"""")"),"")</f>
        <v/>
      </c>
      <c r="I144" s="12" t="str">
        <f t="shared" si="6"/>
        <v/>
      </c>
      <c r="J144" s="12" t="str">
        <f t="shared" si="7"/>
        <v/>
      </c>
      <c r="K144" s="12" t="str">
        <f t="shared" si="8"/>
        <v/>
      </c>
      <c r="L144" s="12" t="str">
        <f t="shared" si="9"/>
        <v/>
      </c>
      <c r="M144" s="12" t="str">
        <f t="shared" si="10"/>
        <v/>
      </c>
      <c r="P144" s="12"/>
    </row>
    <row r="145" ht="15.75" customHeight="1">
      <c r="C145" s="12"/>
      <c r="D145" s="12"/>
      <c r="E145" s="12"/>
      <c r="H145" s="12" t="str">
        <f>IFERROR(__xludf.DUMMYFUNCTION("IF(A145&lt;&gt;"""",googlefinance(A145,""price""),"""")"),"")</f>
        <v/>
      </c>
      <c r="I145" s="12" t="str">
        <f t="shared" si="6"/>
        <v/>
      </c>
      <c r="J145" s="12" t="str">
        <f t="shared" si="7"/>
        <v/>
      </c>
      <c r="K145" s="12" t="str">
        <f t="shared" si="8"/>
        <v/>
      </c>
      <c r="L145" s="12" t="str">
        <f t="shared" si="9"/>
        <v/>
      </c>
      <c r="M145" s="12" t="str">
        <f t="shared" si="10"/>
        <v/>
      </c>
      <c r="P145" s="12"/>
    </row>
    <row r="146" ht="15.75" customHeight="1">
      <c r="C146" s="12"/>
      <c r="D146" s="12"/>
      <c r="E146" s="12"/>
      <c r="H146" s="12" t="str">
        <f>IFERROR(__xludf.DUMMYFUNCTION("IF(A146&lt;&gt;"""",googlefinance(A146,""price""),"""")"),"")</f>
        <v/>
      </c>
      <c r="I146" s="12" t="str">
        <f t="shared" si="6"/>
        <v/>
      </c>
      <c r="J146" s="12" t="str">
        <f t="shared" si="7"/>
        <v/>
      </c>
      <c r="K146" s="12" t="str">
        <f t="shared" si="8"/>
        <v/>
      </c>
      <c r="L146" s="12" t="str">
        <f t="shared" si="9"/>
        <v/>
      </c>
      <c r="M146" s="12" t="str">
        <f t="shared" si="10"/>
        <v/>
      </c>
      <c r="P146" s="12"/>
    </row>
    <row r="147" ht="15.75" customHeight="1">
      <c r="C147" s="12"/>
      <c r="D147" s="12"/>
      <c r="E147" s="12"/>
      <c r="H147" s="12" t="str">
        <f>IFERROR(__xludf.DUMMYFUNCTION("IF(A147&lt;&gt;"""",googlefinance(A147,""price""),"""")"),"")</f>
        <v/>
      </c>
      <c r="I147" s="12" t="str">
        <f t="shared" si="6"/>
        <v/>
      </c>
      <c r="J147" s="12" t="str">
        <f t="shared" si="7"/>
        <v/>
      </c>
      <c r="K147" s="12" t="str">
        <f t="shared" si="8"/>
        <v/>
      </c>
      <c r="L147" s="12" t="str">
        <f t="shared" si="9"/>
        <v/>
      </c>
      <c r="M147" s="12" t="str">
        <f t="shared" si="10"/>
        <v/>
      </c>
      <c r="P147" s="12"/>
    </row>
    <row r="148" ht="15.75" customHeight="1">
      <c r="C148" s="12"/>
      <c r="D148" s="12"/>
      <c r="E148" s="12"/>
      <c r="H148" s="12" t="str">
        <f>IFERROR(__xludf.DUMMYFUNCTION("IF(A148&lt;&gt;"""",googlefinance(A148,""price""),"""")"),"")</f>
        <v/>
      </c>
      <c r="I148" s="12" t="str">
        <f t="shared" si="6"/>
        <v/>
      </c>
      <c r="J148" s="12" t="str">
        <f t="shared" si="7"/>
        <v/>
      </c>
      <c r="K148" s="12" t="str">
        <f t="shared" si="8"/>
        <v/>
      </c>
      <c r="L148" s="12" t="str">
        <f t="shared" si="9"/>
        <v/>
      </c>
      <c r="M148" s="12" t="str">
        <f t="shared" si="10"/>
        <v/>
      </c>
      <c r="P148" s="12"/>
    </row>
    <row r="149" ht="15.75" customHeight="1">
      <c r="C149" s="12"/>
      <c r="D149" s="12"/>
      <c r="E149" s="12"/>
      <c r="H149" s="12" t="str">
        <f>IFERROR(__xludf.DUMMYFUNCTION("IF(A149&lt;&gt;"""",googlefinance(A149,""price""),"""")"),"")</f>
        <v/>
      </c>
      <c r="I149" s="12" t="str">
        <f t="shared" si="6"/>
        <v/>
      </c>
      <c r="J149" s="12" t="str">
        <f t="shared" si="7"/>
        <v/>
      </c>
      <c r="K149" s="12" t="str">
        <f t="shared" si="8"/>
        <v/>
      </c>
      <c r="L149" s="12" t="str">
        <f t="shared" si="9"/>
        <v/>
      </c>
      <c r="M149" s="12" t="str">
        <f t="shared" si="10"/>
        <v/>
      </c>
      <c r="P149" s="12"/>
    </row>
    <row r="150" ht="15.75" customHeight="1">
      <c r="C150" s="12"/>
      <c r="D150" s="12"/>
      <c r="E150" s="12"/>
      <c r="H150" s="12" t="str">
        <f>IFERROR(__xludf.DUMMYFUNCTION("IF(A150&lt;&gt;"""",googlefinance(A150,""price""),"""")"),"")</f>
        <v/>
      </c>
      <c r="I150" s="12" t="str">
        <f t="shared" si="6"/>
        <v/>
      </c>
      <c r="J150" s="12" t="str">
        <f t="shared" si="7"/>
        <v/>
      </c>
      <c r="K150" s="12" t="str">
        <f t="shared" si="8"/>
        <v/>
      </c>
      <c r="L150" s="12" t="str">
        <f t="shared" si="9"/>
        <v/>
      </c>
      <c r="M150" s="12" t="str">
        <f t="shared" si="10"/>
        <v/>
      </c>
      <c r="P150" s="12"/>
    </row>
    <row r="151" ht="15.75" customHeight="1">
      <c r="C151" s="12"/>
      <c r="D151" s="12"/>
      <c r="E151" s="12"/>
      <c r="H151" s="12" t="str">
        <f>IFERROR(__xludf.DUMMYFUNCTION("IF(A151&lt;&gt;"""",googlefinance(A151,""price""),"""")"),"")</f>
        <v/>
      </c>
      <c r="I151" s="12" t="str">
        <f t="shared" si="6"/>
        <v/>
      </c>
      <c r="J151" s="12" t="str">
        <f t="shared" si="7"/>
        <v/>
      </c>
      <c r="K151" s="12" t="str">
        <f t="shared" si="8"/>
        <v/>
      </c>
      <c r="L151" s="12" t="str">
        <f t="shared" si="9"/>
        <v/>
      </c>
      <c r="M151" s="12" t="str">
        <f t="shared" si="10"/>
        <v/>
      </c>
      <c r="P151" s="12"/>
    </row>
    <row r="152" ht="15.75" customHeight="1">
      <c r="C152" s="12"/>
      <c r="D152" s="12"/>
      <c r="E152" s="12"/>
      <c r="H152" s="12" t="str">
        <f>IFERROR(__xludf.DUMMYFUNCTION("IF(A152&lt;&gt;"""",googlefinance(A152,""price""),"""")"),"")</f>
        <v/>
      </c>
      <c r="I152" s="12" t="str">
        <f t="shared" si="6"/>
        <v/>
      </c>
      <c r="J152" s="12" t="str">
        <f t="shared" si="7"/>
        <v/>
      </c>
      <c r="K152" s="12" t="str">
        <f t="shared" si="8"/>
        <v/>
      </c>
      <c r="L152" s="12" t="str">
        <f t="shared" si="9"/>
        <v/>
      </c>
      <c r="M152" s="12" t="str">
        <f t="shared" si="10"/>
        <v/>
      </c>
      <c r="P152" s="12"/>
    </row>
    <row r="153" ht="15.75" customHeight="1">
      <c r="C153" s="12"/>
      <c r="D153" s="12"/>
      <c r="E153" s="12"/>
      <c r="H153" s="12" t="str">
        <f>IFERROR(__xludf.DUMMYFUNCTION("IF(A153&lt;&gt;"""",googlefinance(A153,""price""),"""")"),"")</f>
        <v/>
      </c>
      <c r="I153" s="12" t="str">
        <f t="shared" si="6"/>
        <v/>
      </c>
      <c r="J153" s="12" t="str">
        <f t="shared" si="7"/>
        <v/>
      </c>
      <c r="K153" s="12" t="str">
        <f t="shared" si="8"/>
        <v/>
      </c>
      <c r="L153" s="12" t="str">
        <f t="shared" si="9"/>
        <v/>
      </c>
      <c r="M153" s="12" t="str">
        <f t="shared" si="10"/>
        <v/>
      </c>
      <c r="P153" s="12"/>
    </row>
    <row r="154" ht="15.75" customHeight="1">
      <c r="C154" s="12"/>
      <c r="D154" s="12"/>
      <c r="E154" s="12"/>
      <c r="H154" s="12" t="str">
        <f>IFERROR(__xludf.DUMMYFUNCTION("IF(A154&lt;&gt;"""",googlefinance(A154,""price""),"""")"),"")</f>
        <v/>
      </c>
      <c r="I154" s="12" t="str">
        <f t="shared" si="6"/>
        <v/>
      </c>
      <c r="J154" s="12" t="str">
        <f t="shared" si="7"/>
        <v/>
      </c>
      <c r="K154" s="12" t="str">
        <f t="shared" si="8"/>
        <v/>
      </c>
      <c r="L154" s="12" t="str">
        <f t="shared" si="9"/>
        <v/>
      </c>
      <c r="M154" s="12" t="str">
        <f t="shared" si="10"/>
        <v/>
      </c>
      <c r="P154" s="12"/>
    </row>
    <row r="155" ht="15.75" customHeight="1">
      <c r="C155" s="12"/>
      <c r="D155" s="12"/>
      <c r="E155" s="12"/>
      <c r="H155" s="12" t="str">
        <f>IFERROR(__xludf.DUMMYFUNCTION("IF(A155&lt;&gt;"""",googlefinance(A155,""price""),"""")"),"")</f>
        <v/>
      </c>
      <c r="I155" s="12" t="str">
        <f t="shared" si="6"/>
        <v/>
      </c>
      <c r="J155" s="12" t="str">
        <f t="shared" si="7"/>
        <v/>
      </c>
      <c r="K155" s="12" t="str">
        <f t="shared" si="8"/>
        <v/>
      </c>
      <c r="L155" s="12" t="str">
        <f t="shared" si="9"/>
        <v/>
      </c>
      <c r="M155" s="12" t="str">
        <f t="shared" si="10"/>
        <v/>
      </c>
      <c r="P155" s="12"/>
    </row>
    <row r="156" ht="15.75" customHeight="1">
      <c r="C156" s="12"/>
      <c r="D156" s="12"/>
      <c r="E156" s="12"/>
      <c r="H156" s="12" t="str">
        <f>IFERROR(__xludf.DUMMYFUNCTION("IF(A156&lt;&gt;"""",googlefinance(A156,""price""),"""")"),"")</f>
        <v/>
      </c>
      <c r="I156" s="12" t="str">
        <f t="shared" si="6"/>
        <v/>
      </c>
      <c r="J156" s="12" t="str">
        <f t="shared" si="7"/>
        <v/>
      </c>
      <c r="K156" s="12" t="str">
        <f t="shared" si="8"/>
        <v/>
      </c>
      <c r="L156" s="12" t="str">
        <f t="shared" si="9"/>
        <v/>
      </c>
      <c r="M156" s="12" t="str">
        <f t="shared" si="10"/>
        <v/>
      </c>
      <c r="P156" s="12"/>
    </row>
    <row r="157" ht="15.75" customHeight="1">
      <c r="C157" s="12"/>
      <c r="D157" s="12"/>
      <c r="E157" s="12"/>
      <c r="H157" s="12" t="str">
        <f>IFERROR(__xludf.DUMMYFUNCTION("IF(A157&lt;&gt;"""",googlefinance(A157,""price""),"""")"),"")</f>
        <v/>
      </c>
      <c r="I157" s="12" t="str">
        <f t="shared" si="6"/>
        <v/>
      </c>
      <c r="J157" s="12" t="str">
        <f t="shared" si="7"/>
        <v/>
      </c>
      <c r="K157" s="12" t="str">
        <f t="shared" si="8"/>
        <v/>
      </c>
      <c r="L157" s="12" t="str">
        <f t="shared" si="9"/>
        <v/>
      </c>
      <c r="M157" s="12" t="str">
        <f t="shared" si="10"/>
        <v/>
      </c>
      <c r="P157" s="12"/>
    </row>
    <row r="158" ht="15.75" customHeight="1">
      <c r="C158" s="12"/>
      <c r="D158" s="12"/>
      <c r="E158" s="12"/>
      <c r="H158" s="12" t="str">
        <f>IFERROR(__xludf.DUMMYFUNCTION("IF(A158&lt;&gt;"""",googlefinance(A158,""price""),"""")"),"")</f>
        <v/>
      </c>
      <c r="I158" s="12" t="str">
        <f t="shared" si="6"/>
        <v/>
      </c>
      <c r="J158" s="12" t="str">
        <f t="shared" si="7"/>
        <v/>
      </c>
      <c r="K158" s="12" t="str">
        <f t="shared" si="8"/>
        <v/>
      </c>
      <c r="L158" s="12" t="str">
        <f t="shared" si="9"/>
        <v/>
      </c>
      <c r="M158" s="12" t="str">
        <f t="shared" si="10"/>
        <v/>
      </c>
      <c r="P158" s="12"/>
    </row>
    <row r="159" ht="15.75" customHeight="1">
      <c r="C159" s="12"/>
      <c r="D159" s="12"/>
      <c r="E159" s="12"/>
      <c r="H159" s="12" t="str">
        <f>IFERROR(__xludf.DUMMYFUNCTION("IF(A159&lt;&gt;"""",googlefinance(A159,""price""),"""")"),"")</f>
        <v/>
      </c>
      <c r="I159" s="12" t="str">
        <f t="shared" si="6"/>
        <v/>
      </c>
      <c r="J159" s="12" t="str">
        <f t="shared" si="7"/>
        <v/>
      </c>
      <c r="K159" s="12" t="str">
        <f t="shared" si="8"/>
        <v/>
      </c>
      <c r="L159" s="12" t="str">
        <f t="shared" si="9"/>
        <v/>
      </c>
      <c r="M159" s="12" t="str">
        <f t="shared" si="10"/>
        <v/>
      </c>
      <c r="P159" s="12"/>
    </row>
    <row r="160" ht="15.75" customHeight="1">
      <c r="C160" s="12"/>
      <c r="D160" s="12"/>
      <c r="E160" s="12"/>
      <c r="H160" s="12" t="str">
        <f>IFERROR(__xludf.DUMMYFUNCTION("IF(A160&lt;&gt;"""",googlefinance(A160,""price""),"""")"),"")</f>
        <v/>
      </c>
      <c r="I160" s="12" t="str">
        <f t="shared" si="6"/>
        <v/>
      </c>
      <c r="J160" s="12" t="str">
        <f t="shared" si="7"/>
        <v/>
      </c>
      <c r="K160" s="12" t="str">
        <f t="shared" si="8"/>
        <v/>
      </c>
      <c r="L160" s="12" t="str">
        <f t="shared" si="9"/>
        <v/>
      </c>
      <c r="M160" s="12" t="str">
        <f t="shared" si="10"/>
        <v/>
      </c>
      <c r="P160" s="12"/>
    </row>
    <row r="161" ht="15.75" customHeight="1">
      <c r="C161" s="12"/>
      <c r="D161" s="12"/>
      <c r="E161" s="12"/>
      <c r="H161" s="12" t="str">
        <f>IFERROR(__xludf.DUMMYFUNCTION("IF(A161&lt;&gt;"""",googlefinance(A161,""price""),"""")"),"")</f>
        <v/>
      </c>
      <c r="I161" s="12" t="str">
        <f t="shared" si="6"/>
        <v/>
      </c>
      <c r="J161" s="12" t="str">
        <f t="shared" si="7"/>
        <v/>
      </c>
      <c r="K161" s="12" t="str">
        <f t="shared" si="8"/>
        <v/>
      </c>
      <c r="L161" s="12" t="str">
        <f t="shared" si="9"/>
        <v/>
      </c>
      <c r="M161" s="12" t="str">
        <f t="shared" si="10"/>
        <v/>
      </c>
      <c r="P161" s="12"/>
    </row>
    <row r="162" ht="15.75" customHeight="1">
      <c r="C162" s="12"/>
      <c r="D162" s="12"/>
      <c r="E162" s="12"/>
      <c r="H162" s="12" t="str">
        <f>IFERROR(__xludf.DUMMYFUNCTION("IF(A162&lt;&gt;"""",googlefinance(A162,""price""),"""")"),"")</f>
        <v/>
      </c>
      <c r="I162" s="12" t="str">
        <f t="shared" si="6"/>
        <v/>
      </c>
      <c r="J162" s="12" t="str">
        <f t="shared" si="7"/>
        <v/>
      </c>
      <c r="K162" s="12" t="str">
        <f t="shared" si="8"/>
        <v/>
      </c>
      <c r="L162" s="12" t="str">
        <f t="shared" si="9"/>
        <v/>
      </c>
      <c r="M162" s="12" t="str">
        <f t="shared" si="10"/>
        <v/>
      </c>
      <c r="P162" s="12"/>
    </row>
    <row r="163" ht="15.75" customHeight="1">
      <c r="C163" s="12"/>
      <c r="D163" s="12"/>
      <c r="E163" s="12"/>
      <c r="H163" s="12" t="str">
        <f>IFERROR(__xludf.DUMMYFUNCTION("IF(A163&lt;&gt;"""",googlefinance(A163,""price""),"""")"),"")</f>
        <v/>
      </c>
      <c r="I163" s="12" t="str">
        <f t="shared" si="6"/>
        <v/>
      </c>
      <c r="J163" s="12" t="str">
        <f t="shared" si="7"/>
        <v/>
      </c>
      <c r="K163" s="12" t="str">
        <f t="shared" si="8"/>
        <v/>
      </c>
      <c r="L163" s="12" t="str">
        <f t="shared" si="9"/>
        <v/>
      </c>
      <c r="M163" s="12" t="str">
        <f t="shared" si="10"/>
        <v/>
      </c>
      <c r="P163" s="12"/>
    </row>
    <row r="164" ht="15.75" customHeight="1">
      <c r="C164" s="12"/>
      <c r="D164" s="12"/>
      <c r="E164" s="12"/>
      <c r="H164" s="12" t="str">
        <f>IFERROR(__xludf.DUMMYFUNCTION("IF(A164&lt;&gt;"""",googlefinance(A164,""price""),"""")"),"")</f>
        <v/>
      </c>
      <c r="I164" s="12" t="str">
        <f t="shared" si="6"/>
        <v/>
      </c>
      <c r="J164" s="12" t="str">
        <f t="shared" si="7"/>
        <v/>
      </c>
      <c r="K164" s="12" t="str">
        <f t="shared" si="8"/>
        <v/>
      </c>
      <c r="L164" s="12" t="str">
        <f t="shared" si="9"/>
        <v/>
      </c>
      <c r="M164" s="12" t="str">
        <f t="shared" si="10"/>
        <v/>
      </c>
      <c r="P164" s="12"/>
    </row>
    <row r="165" ht="15.75" customHeight="1">
      <c r="C165" s="12"/>
      <c r="D165" s="12"/>
      <c r="E165" s="12"/>
      <c r="H165" s="12" t="str">
        <f>IFERROR(__xludf.DUMMYFUNCTION("IF(A165&lt;&gt;"""",googlefinance(A165,""price""),"""")"),"")</f>
        <v/>
      </c>
      <c r="I165" s="12" t="str">
        <f t="shared" si="6"/>
        <v/>
      </c>
      <c r="J165" s="12" t="str">
        <f t="shared" si="7"/>
        <v/>
      </c>
      <c r="K165" s="12" t="str">
        <f t="shared" si="8"/>
        <v/>
      </c>
      <c r="L165" s="12" t="str">
        <f t="shared" si="9"/>
        <v/>
      </c>
      <c r="M165" s="12" t="str">
        <f t="shared" si="10"/>
        <v/>
      </c>
      <c r="P165" s="12"/>
    </row>
    <row r="166" ht="15.75" customHeight="1">
      <c r="C166" s="12"/>
      <c r="D166" s="12"/>
      <c r="E166" s="12"/>
      <c r="H166" s="12" t="str">
        <f>IFERROR(__xludf.DUMMYFUNCTION("IF(A166&lt;&gt;"""",googlefinance(A166,""price""),"""")"),"")</f>
        <v/>
      </c>
      <c r="I166" s="12" t="str">
        <f t="shared" si="6"/>
        <v/>
      </c>
      <c r="J166" s="12" t="str">
        <f t="shared" si="7"/>
        <v/>
      </c>
      <c r="K166" s="12" t="str">
        <f t="shared" si="8"/>
        <v/>
      </c>
      <c r="L166" s="12" t="str">
        <f t="shared" si="9"/>
        <v/>
      </c>
      <c r="M166" s="12" t="str">
        <f t="shared" si="10"/>
        <v/>
      </c>
      <c r="P166" s="12"/>
    </row>
    <row r="167" ht="15.75" customHeight="1">
      <c r="C167" s="12"/>
      <c r="D167" s="12"/>
      <c r="E167" s="12"/>
      <c r="H167" s="12" t="str">
        <f>IFERROR(__xludf.DUMMYFUNCTION("IF(A167&lt;&gt;"""",googlefinance(A167,""price""),"""")"),"")</f>
        <v/>
      </c>
      <c r="I167" s="12" t="str">
        <f t="shared" si="6"/>
        <v/>
      </c>
      <c r="J167" s="12" t="str">
        <f t="shared" si="7"/>
        <v/>
      </c>
      <c r="K167" s="12" t="str">
        <f t="shared" si="8"/>
        <v/>
      </c>
      <c r="L167" s="12" t="str">
        <f t="shared" si="9"/>
        <v/>
      </c>
      <c r="M167" s="12" t="str">
        <f t="shared" si="10"/>
        <v/>
      </c>
      <c r="P167" s="12"/>
    </row>
    <row r="168" ht="15.75" customHeight="1">
      <c r="C168" s="12"/>
      <c r="D168" s="12"/>
      <c r="E168" s="12"/>
      <c r="H168" s="12" t="str">
        <f>IFERROR(__xludf.DUMMYFUNCTION("IF(A168&lt;&gt;"""",googlefinance(A168,""price""),"""")"),"")</f>
        <v/>
      </c>
      <c r="I168" s="12" t="str">
        <f t="shared" si="6"/>
        <v/>
      </c>
      <c r="J168" s="12" t="str">
        <f t="shared" si="7"/>
        <v/>
      </c>
      <c r="K168" s="12" t="str">
        <f t="shared" si="8"/>
        <v/>
      </c>
      <c r="L168" s="12" t="str">
        <f t="shared" si="9"/>
        <v/>
      </c>
      <c r="M168" s="12" t="str">
        <f t="shared" si="10"/>
        <v/>
      </c>
      <c r="P168" s="12"/>
    </row>
    <row r="169" ht="15.75" customHeight="1">
      <c r="C169" s="12"/>
      <c r="D169" s="12"/>
      <c r="E169" s="12"/>
      <c r="H169" s="12" t="str">
        <f>IFERROR(__xludf.DUMMYFUNCTION("IF(A169&lt;&gt;"""",googlefinance(A169,""price""),"""")"),"")</f>
        <v/>
      </c>
      <c r="I169" s="12" t="str">
        <f t="shared" si="6"/>
        <v/>
      </c>
      <c r="J169" s="12" t="str">
        <f t="shared" si="7"/>
        <v/>
      </c>
      <c r="K169" s="12" t="str">
        <f t="shared" si="8"/>
        <v/>
      </c>
      <c r="L169" s="12" t="str">
        <f t="shared" si="9"/>
        <v/>
      </c>
      <c r="M169" s="12" t="str">
        <f t="shared" si="10"/>
        <v/>
      </c>
      <c r="P169" s="12"/>
    </row>
    <row r="170" ht="15.75" customHeight="1">
      <c r="C170" s="12"/>
      <c r="D170" s="12"/>
      <c r="E170" s="12"/>
      <c r="H170" s="12" t="str">
        <f>IFERROR(__xludf.DUMMYFUNCTION("IF(A170&lt;&gt;"""",googlefinance(A170,""price""),"""")"),"")</f>
        <v/>
      </c>
      <c r="I170" s="12" t="str">
        <f t="shared" si="6"/>
        <v/>
      </c>
      <c r="J170" s="12" t="str">
        <f t="shared" si="7"/>
        <v/>
      </c>
      <c r="K170" s="12" t="str">
        <f t="shared" si="8"/>
        <v/>
      </c>
      <c r="L170" s="12" t="str">
        <f t="shared" si="9"/>
        <v/>
      </c>
      <c r="M170" s="12" t="str">
        <f t="shared" si="10"/>
        <v/>
      </c>
      <c r="P170" s="12"/>
    </row>
    <row r="171" ht="15.75" customHeight="1">
      <c r="C171" s="12"/>
      <c r="D171" s="12"/>
      <c r="E171" s="12"/>
      <c r="H171" s="12" t="str">
        <f>IFERROR(__xludf.DUMMYFUNCTION("IF(A171&lt;&gt;"""",googlefinance(A171,""price""),"""")"),"")</f>
        <v/>
      </c>
      <c r="I171" s="12" t="str">
        <f t="shared" si="6"/>
        <v/>
      </c>
      <c r="J171" s="12" t="str">
        <f t="shared" si="7"/>
        <v/>
      </c>
      <c r="K171" s="12" t="str">
        <f t="shared" si="8"/>
        <v/>
      </c>
      <c r="L171" s="12" t="str">
        <f t="shared" si="9"/>
        <v/>
      </c>
      <c r="M171" s="12" t="str">
        <f t="shared" si="10"/>
        <v/>
      </c>
      <c r="P171" s="12"/>
    </row>
    <row r="172" ht="15.75" customHeight="1">
      <c r="C172" s="12"/>
      <c r="D172" s="12"/>
      <c r="E172" s="12"/>
      <c r="H172" s="12" t="str">
        <f>IFERROR(__xludf.DUMMYFUNCTION("IF(A172&lt;&gt;"""",googlefinance(A172,""price""),"""")"),"")</f>
        <v/>
      </c>
      <c r="I172" s="12" t="str">
        <f t="shared" si="6"/>
        <v/>
      </c>
      <c r="J172" s="12" t="str">
        <f t="shared" si="7"/>
        <v/>
      </c>
      <c r="K172" s="12" t="str">
        <f t="shared" si="8"/>
        <v/>
      </c>
      <c r="L172" s="12" t="str">
        <f t="shared" si="9"/>
        <v/>
      </c>
      <c r="M172" s="12" t="str">
        <f t="shared" si="10"/>
        <v/>
      </c>
      <c r="P172" s="12"/>
    </row>
    <row r="173" ht="15.75" customHeight="1">
      <c r="C173" s="12"/>
      <c r="D173" s="12"/>
      <c r="E173" s="12"/>
      <c r="H173" s="12" t="str">
        <f>IFERROR(__xludf.DUMMYFUNCTION("IF(A173&lt;&gt;"""",googlefinance(A173,""price""),"""")"),"")</f>
        <v/>
      </c>
      <c r="I173" s="12" t="str">
        <f t="shared" si="6"/>
        <v/>
      </c>
      <c r="J173" s="12" t="str">
        <f t="shared" si="7"/>
        <v/>
      </c>
      <c r="K173" s="12" t="str">
        <f t="shared" si="8"/>
        <v/>
      </c>
      <c r="L173" s="12" t="str">
        <f t="shared" si="9"/>
        <v/>
      </c>
      <c r="M173" s="12" t="str">
        <f t="shared" si="10"/>
        <v/>
      </c>
      <c r="P173" s="12"/>
    </row>
    <row r="174" ht="15.75" customHeight="1">
      <c r="C174" s="12"/>
      <c r="D174" s="12"/>
      <c r="E174" s="12"/>
      <c r="H174" s="12" t="str">
        <f>IFERROR(__xludf.DUMMYFUNCTION("IF(A174&lt;&gt;"""",googlefinance(A174,""price""),"""")"),"")</f>
        <v/>
      </c>
      <c r="I174" s="12" t="str">
        <f t="shared" si="6"/>
        <v/>
      </c>
      <c r="J174" s="12" t="str">
        <f t="shared" si="7"/>
        <v/>
      </c>
      <c r="K174" s="12" t="str">
        <f t="shared" si="8"/>
        <v/>
      </c>
      <c r="L174" s="12" t="str">
        <f t="shared" si="9"/>
        <v/>
      </c>
      <c r="M174" s="12" t="str">
        <f t="shared" si="10"/>
        <v/>
      </c>
      <c r="P174" s="12"/>
    </row>
    <row r="175" ht="15.75" customHeight="1">
      <c r="C175" s="12"/>
      <c r="D175" s="12"/>
      <c r="E175" s="12"/>
      <c r="H175" s="12" t="str">
        <f>IFERROR(__xludf.DUMMYFUNCTION("IF(A175&lt;&gt;"""",googlefinance(A175,""price""),"""")"),"")</f>
        <v/>
      </c>
      <c r="I175" s="12" t="str">
        <f t="shared" si="6"/>
        <v/>
      </c>
      <c r="J175" s="12" t="str">
        <f t="shared" si="7"/>
        <v/>
      </c>
      <c r="K175" s="12" t="str">
        <f t="shared" si="8"/>
        <v/>
      </c>
      <c r="L175" s="12" t="str">
        <f t="shared" si="9"/>
        <v/>
      </c>
      <c r="M175" s="12" t="str">
        <f t="shared" si="10"/>
        <v/>
      </c>
      <c r="P175" s="12"/>
    </row>
    <row r="176" ht="15.75" customHeight="1">
      <c r="C176" s="12"/>
      <c r="D176" s="12"/>
      <c r="E176" s="12"/>
      <c r="H176" s="12" t="str">
        <f>IFERROR(__xludf.DUMMYFUNCTION("IF(A176&lt;&gt;"""",googlefinance(A176,""price""),"""")"),"")</f>
        <v/>
      </c>
      <c r="I176" s="12" t="str">
        <f t="shared" si="6"/>
        <v/>
      </c>
      <c r="J176" s="12" t="str">
        <f t="shared" si="7"/>
        <v/>
      </c>
      <c r="K176" s="12" t="str">
        <f t="shared" si="8"/>
        <v/>
      </c>
      <c r="L176" s="12" t="str">
        <f t="shared" si="9"/>
        <v/>
      </c>
      <c r="M176" s="12" t="str">
        <f t="shared" si="10"/>
        <v/>
      </c>
      <c r="P176" s="12"/>
    </row>
    <row r="177" ht="15.75" customHeight="1">
      <c r="C177" s="12"/>
      <c r="D177" s="12"/>
      <c r="E177" s="12"/>
      <c r="H177" s="12" t="str">
        <f>IFERROR(__xludf.DUMMYFUNCTION("IF(A177&lt;&gt;"""",googlefinance(A177,""price""),"""")"),"")</f>
        <v/>
      </c>
      <c r="I177" s="12" t="str">
        <f t="shared" si="6"/>
        <v/>
      </c>
      <c r="J177" s="12" t="str">
        <f t="shared" si="7"/>
        <v/>
      </c>
      <c r="K177" s="12" t="str">
        <f t="shared" si="8"/>
        <v/>
      </c>
      <c r="L177" s="12" t="str">
        <f t="shared" si="9"/>
        <v/>
      </c>
      <c r="M177" s="12" t="str">
        <f t="shared" si="10"/>
        <v/>
      </c>
      <c r="P177" s="12"/>
    </row>
    <row r="178" ht="15.75" customHeight="1">
      <c r="C178" s="12"/>
      <c r="D178" s="12"/>
      <c r="E178" s="12"/>
      <c r="H178" s="12" t="str">
        <f>IFERROR(__xludf.DUMMYFUNCTION("IF(A178&lt;&gt;"""",googlefinance(A178,""price""),"""")"),"")</f>
        <v/>
      </c>
      <c r="I178" s="12" t="str">
        <f t="shared" si="6"/>
        <v/>
      </c>
      <c r="J178" s="12" t="str">
        <f t="shared" si="7"/>
        <v/>
      </c>
      <c r="K178" s="12" t="str">
        <f t="shared" si="8"/>
        <v/>
      </c>
      <c r="L178" s="12" t="str">
        <f t="shared" si="9"/>
        <v/>
      </c>
      <c r="M178" s="12" t="str">
        <f t="shared" si="10"/>
        <v/>
      </c>
      <c r="P178" s="12"/>
    </row>
    <row r="179" ht="15.75" customHeight="1">
      <c r="C179" s="12"/>
      <c r="D179" s="12"/>
      <c r="E179" s="12"/>
      <c r="H179" s="12" t="str">
        <f>IFERROR(__xludf.DUMMYFUNCTION("IF(A179&lt;&gt;"""",googlefinance(A179,""price""),"""")"),"")</f>
        <v/>
      </c>
      <c r="I179" s="12" t="str">
        <f t="shared" si="6"/>
        <v/>
      </c>
      <c r="J179" s="12" t="str">
        <f t="shared" si="7"/>
        <v/>
      </c>
      <c r="K179" s="12" t="str">
        <f t="shared" si="8"/>
        <v/>
      </c>
      <c r="L179" s="12" t="str">
        <f t="shared" si="9"/>
        <v/>
      </c>
      <c r="M179" s="12" t="str">
        <f t="shared" si="10"/>
        <v/>
      </c>
      <c r="P179" s="12"/>
    </row>
    <row r="180" ht="15.75" customHeight="1">
      <c r="C180" s="12"/>
      <c r="D180" s="12"/>
      <c r="E180" s="12"/>
      <c r="H180" s="12" t="str">
        <f>IFERROR(__xludf.DUMMYFUNCTION("IF(A180&lt;&gt;"""",googlefinance(A180,""price""),"""")"),"")</f>
        <v/>
      </c>
      <c r="I180" s="12" t="str">
        <f t="shared" si="6"/>
        <v/>
      </c>
      <c r="J180" s="12" t="str">
        <f t="shared" si="7"/>
        <v/>
      </c>
      <c r="K180" s="12" t="str">
        <f t="shared" si="8"/>
        <v/>
      </c>
      <c r="L180" s="12" t="str">
        <f t="shared" si="9"/>
        <v/>
      </c>
      <c r="M180" s="12" t="str">
        <f t="shared" si="10"/>
        <v/>
      </c>
      <c r="P180" s="12"/>
    </row>
    <row r="181" ht="15.75" customHeight="1">
      <c r="C181" s="12"/>
      <c r="D181" s="12"/>
      <c r="E181" s="12"/>
      <c r="H181" s="12" t="str">
        <f>IFERROR(__xludf.DUMMYFUNCTION("IF(A181&lt;&gt;"""",googlefinance(A181,""price""),"""")"),"")</f>
        <v/>
      </c>
      <c r="I181" s="12" t="str">
        <f t="shared" si="6"/>
        <v/>
      </c>
      <c r="J181" s="12" t="str">
        <f t="shared" si="7"/>
        <v/>
      </c>
      <c r="K181" s="12" t="str">
        <f t="shared" si="8"/>
        <v/>
      </c>
      <c r="L181" s="12" t="str">
        <f t="shared" si="9"/>
        <v/>
      </c>
      <c r="M181" s="12" t="str">
        <f t="shared" si="10"/>
        <v/>
      </c>
      <c r="P181" s="12"/>
    </row>
    <row r="182" ht="15.75" customHeight="1">
      <c r="C182" s="12"/>
      <c r="D182" s="12"/>
      <c r="E182" s="12"/>
      <c r="H182" s="12" t="str">
        <f>IFERROR(__xludf.DUMMYFUNCTION("IF(A182&lt;&gt;"""",googlefinance(A182,""price""),"""")"),"")</f>
        <v/>
      </c>
      <c r="I182" s="12" t="str">
        <f t="shared" si="6"/>
        <v/>
      </c>
      <c r="J182" s="12" t="str">
        <f t="shared" si="7"/>
        <v/>
      </c>
      <c r="K182" s="12" t="str">
        <f t="shared" si="8"/>
        <v/>
      </c>
      <c r="L182" s="12" t="str">
        <f t="shared" si="9"/>
        <v/>
      </c>
      <c r="M182" s="12" t="str">
        <f t="shared" si="10"/>
        <v/>
      </c>
      <c r="P182" s="12"/>
    </row>
    <row r="183" ht="15.75" customHeight="1">
      <c r="C183" s="12"/>
      <c r="D183" s="12"/>
      <c r="E183" s="12"/>
      <c r="H183" s="12" t="str">
        <f>IFERROR(__xludf.DUMMYFUNCTION("IF(A183&lt;&gt;"""",googlefinance(A183,""price""),"""")"),"")</f>
        <v/>
      </c>
      <c r="I183" s="12" t="str">
        <f t="shared" si="6"/>
        <v/>
      </c>
      <c r="J183" s="12" t="str">
        <f t="shared" si="7"/>
        <v/>
      </c>
      <c r="K183" s="12" t="str">
        <f t="shared" si="8"/>
        <v/>
      </c>
      <c r="L183" s="12" t="str">
        <f t="shared" si="9"/>
        <v/>
      </c>
      <c r="M183" s="12" t="str">
        <f t="shared" si="10"/>
        <v/>
      </c>
      <c r="P183" s="12"/>
    </row>
    <row r="184" ht="15.75" customHeight="1">
      <c r="C184" s="12"/>
      <c r="D184" s="12"/>
      <c r="E184" s="12"/>
      <c r="H184" s="12" t="str">
        <f>IFERROR(__xludf.DUMMYFUNCTION("IF(A184&lt;&gt;"""",googlefinance(A184,""price""),"""")"),"")</f>
        <v/>
      </c>
      <c r="I184" s="12" t="str">
        <f t="shared" si="6"/>
        <v/>
      </c>
      <c r="J184" s="12" t="str">
        <f t="shared" si="7"/>
        <v/>
      </c>
      <c r="K184" s="12" t="str">
        <f t="shared" si="8"/>
        <v/>
      </c>
      <c r="L184" s="12" t="str">
        <f t="shared" si="9"/>
        <v/>
      </c>
      <c r="M184" s="12" t="str">
        <f t="shared" si="10"/>
        <v/>
      </c>
      <c r="P184" s="12"/>
    </row>
    <row r="185" ht="15.75" customHeight="1">
      <c r="C185" s="12"/>
      <c r="D185" s="12"/>
      <c r="E185" s="12"/>
      <c r="H185" s="12" t="str">
        <f>IFERROR(__xludf.DUMMYFUNCTION("IF(A185&lt;&gt;"""",googlefinance(A185,""price""),"""")"),"")</f>
        <v/>
      </c>
      <c r="I185" s="12" t="str">
        <f t="shared" si="6"/>
        <v/>
      </c>
      <c r="J185" s="12" t="str">
        <f t="shared" si="7"/>
        <v/>
      </c>
      <c r="K185" s="12" t="str">
        <f t="shared" si="8"/>
        <v/>
      </c>
      <c r="L185" s="12" t="str">
        <f t="shared" si="9"/>
        <v/>
      </c>
      <c r="M185" s="12" t="str">
        <f t="shared" si="10"/>
        <v/>
      </c>
      <c r="P185" s="12"/>
    </row>
    <row r="186" ht="15.75" customHeight="1">
      <c r="C186" s="12"/>
      <c r="D186" s="12"/>
      <c r="E186" s="12"/>
      <c r="H186" s="12" t="str">
        <f>IFERROR(__xludf.DUMMYFUNCTION("IF(A186&lt;&gt;"""",googlefinance(A186,""price""),"""")"),"")</f>
        <v/>
      </c>
      <c r="I186" s="12" t="str">
        <f t="shared" si="6"/>
        <v/>
      </c>
      <c r="J186" s="12" t="str">
        <f t="shared" si="7"/>
        <v/>
      </c>
      <c r="K186" s="12" t="str">
        <f t="shared" si="8"/>
        <v/>
      </c>
      <c r="L186" s="12" t="str">
        <f t="shared" si="9"/>
        <v/>
      </c>
      <c r="M186" s="12" t="str">
        <f t="shared" si="10"/>
        <v/>
      </c>
      <c r="P186" s="12"/>
    </row>
    <row r="187" ht="15.75" customHeight="1">
      <c r="C187" s="12"/>
      <c r="D187" s="12"/>
      <c r="E187" s="12"/>
      <c r="H187" s="12" t="str">
        <f>IFERROR(__xludf.DUMMYFUNCTION("IF(A187&lt;&gt;"""",googlefinance(A187,""price""),"""")"),"")</f>
        <v/>
      </c>
      <c r="I187" s="12" t="str">
        <f t="shared" si="6"/>
        <v/>
      </c>
      <c r="J187" s="12" t="str">
        <f t="shared" si="7"/>
        <v/>
      </c>
      <c r="K187" s="12" t="str">
        <f t="shared" si="8"/>
        <v/>
      </c>
      <c r="L187" s="12" t="str">
        <f t="shared" si="9"/>
        <v/>
      </c>
      <c r="M187" s="12" t="str">
        <f t="shared" si="10"/>
        <v/>
      </c>
      <c r="P187" s="12"/>
    </row>
    <row r="188" ht="15.75" customHeight="1">
      <c r="C188" s="12"/>
      <c r="D188" s="12"/>
      <c r="E188" s="12"/>
      <c r="H188" s="12" t="str">
        <f>IFERROR(__xludf.DUMMYFUNCTION("IF(A188&lt;&gt;"""",googlefinance(A188,""price""),"""")"),"")</f>
        <v/>
      </c>
      <c r="I188" s="12" t="str">
        <f t="shared" si="6"/>
        <v/>
      </c>
      <c r="J188" s="12" t="str">
        <f t="shared" si="7"/>
        <v/>
      </c>
      <c r="K188" s="12" t="str">
        <f t="shared" si="8"/>
        <v/>
      </c>
      <c r="L188" s="12" t="str">
        <f t="shared" si="9"/>
        <v/>
      </c>
      <c r="M188" s="12" t="str">
        <f t="shared" si="10"/>
        <v/>
      </c>
      <c r="P188" s="12"/>
    </row>
    <row r="189" ht="15.75" customHeight="1">
      <c r="C189" s="12"/>
      <c r="D189" s="12"/>
      <c r="E189" s="12"/>
      <c r="H189" s="12" t="str">
        <f>IFERROR(__xludf.DUMMYFUNCTION("IF(A189&lt;&gt;"""",googlefinance(A189,""price""),"""")"),"")</f>
        <v/>
      </c>
      <c r="I189" s="12" t="str">
        <f t="shared" si="6"/>
        <v/>
      </c>
      <c r="J189" s="12" t="str">
        <f t="shared" si="7"/>
        <v/>
      </c>
      <c r="K189" s="12" t="str">
        <f t="shared" si="8"/>
        <v/>
      </c>
      <c r="L189" s="12" t="str">
        <f t="shared" si="9"/>
        <v/>
      </c>
      <c r="M189" s="12" t="str">
        <f t="shared" si="10"/>
        <v/>
      </c>
      <c r="P189" s="12"/>
    </row>
    <row r="190" ht="15.75" customHeight="1">
      <c r="C190" s="12"/>
      <c r="D190" s="12"/>
      <c r="E190" s="12"/>
      <c r="H190" s="12" t="str">
        <f>IFERROR(__xludf.DUMMYFUNCTION("IF(A190&lt;&gt;"""",googlefinance(A190,""price""),"""")"),"")</f>
        <v/>
      </c>
      <c r="I190" s="12" t="str">
        <f t="shared" si="6"/>
        <v/>
      </c>
      <c r="J190" s="12" t="str">
        <f t="shared" si="7"/>
        <v/>
      </c>
      <c r="K190" s="12" t="str">
        <f t="shared" si="8"/>
        <v/>
      </c>
      <c r="L190" s="12" t="str">
        <f t="shared" si="9"/>
        <v/>
      </c>
      <c r="M190" s="12" t="str">
        <f t="shared" si="10"/>
        <v/>
      </c>
      <c r="P190" s="12"/>
    </row>
    <row r="191" ht="15.75" customHeight="1">
      <c r="C191" s="12"/>
      <c r="D191" s="12"/>
      <c r="E191" s="12"/>
      <c r="H191" s="12" t="str">
        <f>IFERROR(__xludf.DUMMYFUNCTION("IF(A191&lt;&gt;"""",googlefinance(A191,""price""),"""")"),"")</f>
        <v/>
      </c>
      <c r="I191" s="12" t="str">
        <f t="shared" si="6"/>
        <v/>
      </c>
      <c r="J191" s="12" t="str">
        <f t="shared" si="7"/>
        <v/>
      </c>
      <c r="K191" s="12" t="str">
        <f t="shared" si="8"/>
        <v/>
      </c>
      <c r="L191" s="12" t="str">
        <f t="shared" si="9"/>
        <v/>
      </c>
      <c r="M191" s="12" t="str">
        <f t="shared" si="10"/>
        <v/>
      </c>
      <c r="P191" s="12"/>
    </row>
    <row r="192" ht="15.75" customHeight="1">
      <c r="C192" s="12"/>
      <c r="D192" s="12"/>
      <c r="E192" s="12"/>
      <c r="H192" s="12" t="str">
        <f>IFERROR(__xludf.DUMMYFUNCTION("IF(A192&lt;&gt;"""",googlefinance(A192,""price""),"""")"),"")</f>
        <v/>
      </c>
      <c r="I192" s="12" t="str">
        <f t="shared" si="6"/>
        <v/>
      </c>
      <c r="J192" s="12" t="str">
        <f t="shared" si="7"/>
        <v/>
      </c>
      <c r="K192" s="12" t="str">
        <f t="shared" si="8"/>
        <v/>
      </c>
      <c r="L192" s="12" t="str">
        <f t="shared" si="9"/>
        <v/>
      </c>
      <c r="M192" s="12" t="str">
        <f t="shared" si="10"/>
        <v/>
      </c>
      <c r="P192" s="12"/>
    </row>
    <row r="193" ht="15.75" customHeight="1">
      <c r="C193" s="12"/>
      <c r="D193" s="12"/>
      <c r="E193" s="12"/>
      <c r="H193" s="12" t="str">
        <f>IFERROR(__xludf.DUMMYFUNCTION("IF(A193&lt;&gt;"""",googlefinance(A193,""price""),"""")"),"")</f>
        <v/>
      </c>
      <c r="I193" s="12" t="str">
        <f t="shared" si="6"/>
        <v/>
      </c>
      <c r="J193" s="12" t="str">
        <f t="shared" si="7"/>
        <v/>
      </c>
      <c r="K193" s="12" t="str">
        <f t="shared" si="8"/>
        <v/>
      </c>
      <c r="L193" s="12" t="str">
        <f t="shared" si="9"/>
        <v/>
      </c>
      <c r="M193" s="12" t="str">
        <f t="shared" si="10"/>
        <v/>
      </c>
      <c r="P193" s="12"/>
    </row>
    <row r="194" ht="15.75" customHeight="1">
      <c r="C194" s="12"/>
      <c r="D194" s="12"/>
      <c r="E194" s="12"/>
      <c r="H194" s="12" t="str">
        <f>IFERROR(__xludf.DUMMYFUNCTION("IF(A194&lt;&gt;"""",googlefinance(A194,""price""),"""")"),"")</f>
        <v/>
      </c>
      <c r="I194" s="12" t="str">
        <f t="shared" si="6"/>
        <v/>
      </c>
      <c r="J194" s="12" t="str">
        <f t="shared" si="7"/>
        <v/>
      </c>
      <c r="K194" s="12" t="str">
        <f t="shared" si="8"/>
        <v/>
      </c>
      <c r="L194" s="12" t="str">
        <f t="shared" si="9"/>
        <v/>
      </c>
      <c r="M194" s="12" t="str">
        <f t="shared" si="10"/>
        <v/>
      </c>
      <c r="P194" s="12"/>
    </row>
    <row r="195" ht="15.75" customHeight="1">
      <c r="C195" s="12"/>
      <c r="D195" s="12"/>
      <c r="E195" s="12"/>
      <c r="H195" s="12" t="str">
        <f>IFERROR(__xludf.DUMMYFUNCTION("IF(A195&lt;&gt;"""",googlefinance(A195,""price""),"""")"),"")</f>
        <v/>
      </c>
      <c r="I195" s="12" t="str">
        <f t="shared" si="6"/>
        <v/>
      </c>
      <c r="J195" s="12" t="str">
        <f t="shared" si="7"/>
        <v/>
      </c>
      <c r="K195" s="12" t="str">
        <f t="shared" si="8"/>
        <v/>
      </c>
      <c r="L195" s="12" t="str">
        <f t="shared" si="9"/>
        <v/>
      </c>
      <c r="M195" s="12" t="str">
        <f t="shared" si="10"/>
        <v/>
      </c>
      <c r="P195" s="12"/>
    </row>
    <row r="196" ht="15.75" customHeight="1">
      <c r="C196" s="12"/>
      <c r="D196" s="12"/>
      <c r="E196" s="12"/>
      <c r="H196" s="12" t="str">
        <f>IFERROR(__xludf.DUMMYFUNCTION("IF(A196&lt;&gt;"""",googlefinance(A196,""price""),"""")"),"")</f>
        <v/>
      </c>
      <c r="I196" s="12" t="str">
        <f t="shared" si="6"/>
        <v/>
      </c>
      <c r="J196" s="12" t="str">
        <f t="shared" si="7"/>
        <v/>
      </c>
      <c r="K196" s="12" t="str">
        <f t="shared" si="8"/>
        <v/>
      </c>
      <c r="L196" s="12" t="str">
        <f t="shared" si="9"/>
        <v/>
      </c>
      <c r="M196" s="12" t="str">
        <f t="shared" si="10"/>
        <v/>
      </c>
      <c r="P196" s="12"/>
    </row>
    <row r="197" ht="15.75" customHeight="1">
      <c r="C197" s="12"/>
      <c r="D197" s="12"/>
      <c r="E197" s="12"/>
      <c r="H197" s="12" t="str">
        <f>IFERROR(__xludf.DUMMYFUNCTION("IF(A197&lt;&gt;"""",googlefinance(A197,""price""),"""")"),"")</f>
        <v/>
      </c>
      <c r="I197" s="12" t="str">
        <f t="shared" si="6"/>
        <v/>
      </c>
      <c r="J197" s="12" t="str">
        <f t="shared" si="7"/>
        <v/>
      </c>
      <c r="K197" s="12" t="str">
        <f t="shared" si="8"/>
        <v/>
      </c>
      <c r="L197" s="12" t="str">
        <f t="shared" si="9"/>
        <v/>
      </c>
      <c r="M197" s="12" t="str">
        <f t="shared" si="10"/>
        <v/>
      </c>
      <c r="P197" s="12"/>
    </row>
    <row r="198" ht="15.75" customHeight="1">
      <c r="C198" s="12"/>
      <c r="D198" s="12"/>
      <c r="E198" s="12"/>
      <c r="H198" s="12" t="str">
        <f>IFERROR(__xludf.DUMMYFUNCTION("IF(A198&lt;&gt;"""",googlefinance(A198,""price""),"""")"),"")</f>
        <v/>
      </c>
      <c r="I198" s="12" t="str">
        <f t="shared" si="6"/>
        <v/>
      </c>
      <c r="J198" s="12" t="str">
        <f t="shared" si="7"/>
        <v/>
      </c>
      <c r="K198" s="12" t="str">
        <f t="shared" si="8"/>
        <v/>
      </c>
      <c r="L198" s="12" t="str">
        <f t="shared" si="9"/>
        <v/>
      </c>
      <c r="M198" s="12" t="str">
        <f t="shared" si="10"/>
        <v/>
      </c>
      <c r="P198" s="12"/>
    </row>
    <row r="199" ht="15.75" customHeight="1">
      <c r="C199" s="12"/>
      <c r="D199" s="12"/>
      <c r="E199" s="12"/>
      <c r="H199" s="12" t="str">
        <f>IFERROR(__xludf.DUMMYFUNCTION("IF(A199&lt;&gt;"""",googlefinance(A199,""price""),"""")"),"")</f>
        <v/>
      </c>
      <c r="I199" s="12" t="str">
        <f t="shared" si="6"/>
        <v/>
      </c>
      <c r="J199" s="12" t="str">
        <f t="shared" si="7"/>
        <v/>
      </c>
      <c r="K199" s="12" t="str">
        <f t="shared" si="8"/>
        <v/>
      </c>
      <c r="L199" s="12" t="str">
        <f t="shared" si="9"/>
        <v/>
      </c>
      <c r="M199" s="12" t="str">
        <f t="shared" si="10"/>
        <v/>
      </c>
      <c r="P199" s="12"/>
    </row>
    <row r="200" ht="15.75" customHeight="1">
      <c r="C200" s="12"/>
      <c r="D200" s="12"/>
      <c r="E200" s="12"/>
      <c r="H200" s="12" t="str">
        <f>IFERROR(__xludf.DUMMYFUNCTION("IF(A200&lt;&gt;"""",googlefinance(A200,""price""),"""")"),"")</f>
        <v/>
      </c>
      <c r="I200" s="12" t="str">
        <f t="shared" si="6"/>
        <v/>
      </c>
      <c r="J200" s="12" t="str">
        <f t="shared" si="7"/>
        <v/>
      </c>
      <c r="K200" s="12" t="str">
        <f t="shared" si="8"/>
        <v/>
      </c>
      <c r="L200" s="12" t="str">
        <f t="shared" si="9"/>
        <v/>
      </c>
      <c r="M200" s="12" t="str">
        <f t="shared" si="10"/>
        <v/>
      </c>
      <c r="P200" s="1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200"/>
  <conditionalFormatting sqref="K2:K200">
    <cfRule type="cellIs" dxfId="0" priority="1" operator="greaterThan">
      <formula>0</formula>
    </cfRule>
  </conditionalFormatting>
  <conditionalFormatting sqref="K2:K200">
    <cfRule type="cellIs" dxfId="1" priority="2" operator="lessThan">
      <formula>0</formula>
    </cfRule>
  </conditionalFormatting>
  <conditionalFormatting sqref="L2:L200">
    <cfRule type="cellIs" dxfId="0" priority="3" operator="greaterThan">
      <formula>0</formula>
    </cfRule>
  </conditionalFormatting>
  <conditionalFormatting sqref="L2:L200">
    <cfRule type="cellIs" dxfId="1" priority="4" operator="lessThan">
      <formula>0</formula>
    </cfRule>
  </conditionalFormatting>
  <dataValidations>
    <dataValidation type="list" allowBlank="1" sqref="D2:D200">
      <formula1>"Energy,IT,Materials,Healthcare,Industrials,Financials,Consumer,Utilities,Comm Services,Real Estate"</formula1>
    </dataValidation>
    <dataValidation type="list" allowBlank="1" sqref="E2:E200">
      <formula1>"Equity,ETF,Option,Bond,Crypto,Cash"</formula1>
    </dataValidation>
    <dataValidation type="list" allowBlank="1" sqref="P2:P200">
      <formula1>"Active,Watching,Exited,Stopped Out"</formula1>
    </dataValidation>
    <dataValidation type="list" allowBlank="1" sqref="C2:C200">
      <formula1>"Individual,Rollover IRA,Roth IRA,Other"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14.0"/>
    <col customWidth="1" min="4" max="5" width="12.0"/>
    <col customWidth="1" min="6" max="6" width="10.0"/>
    <col customWidth="1" min="7" max="11" width="14.0"/>
    <col customWidth="1" min="12" max="12" width="12.0"/>
    <col customWidth="1" min="13" max="13" width="14.0"/>
    <col customWidth="1" min="14" max="14" width="12.0"/>
    <col customWidth="1" min="15" max="15" width="14.0"/>
    <col customWidth="1" min="16" max="26" width="8.71"/>
  </cols>
  <sheetData>
    <row r="1">
      <c r="A1" s="4" t="s">
        <v>35</v>
      </c>
      <c r="B1" s="4" t="s">
        <v>36</v>
      </c>
      <c r="C1" s="4" t="s">
        <v>2</v>
      </c>
      <c r="D1" s="4" t="s">
        <v>80</v>
      </c>
      <c r="E1" s="4" t="s">
        <v>81</v>
      </c>
      <c r="F1" s="4" t="s">
        <v>38</v>
      </c>
      <c r="G1" s="4" t="s">
        <v>82</v>
      </c>
      <c r="H1" s="4" t="s">
        <v>83</v>
      </c>
      <c r="I1" s="4" t="s">
        <v>84</v>
      </c>
      <c r="J1" s="4" t="s">
        <v>4</v>
      </c>
      <c r="K1" s="4" t="s">
        <v>5</v>
      </c>
      <c r="L1" s="4" t="s">
        <v>6</v>
      </c>
      <c r="M1" s="4" t="s">
        <v>85</v>
      </c>
      <c r="N1" s="4" t="s">
        <v>86</v>
      </c>
      <c r="O1" s="4" t="s">
        <v>87</v>
      </c>
    </row>
    <row r="2">
      <c r="A2" s="8" t="s">
        <v>88</v>
      </c>
      <c r="B2" s="8" t="s">
        <v>89</v>
      </c>
      <c r="C2" s="8" t="s">
        <v>8</v>
      </c>
      <c r="D2" s="8" t="s">
        <v>90</v>
      </c>
      <c r="E2" s="8" t="s">
        <v>91</v>
      </c>
      <c r="F2" s="8">
        <v>15.0</v>
      </c>
      <c r="G2" s="6">
        <v>124.5</v>
      </c>
      <c r="H2" s="6">
        <v>102.05</v>
      </c>
      <c r="I2" s="6">
        <f t="shared" ref="I2:I4" si="1">F2*G2</f>
        <v>1867.5</v>
      </c>
      <c r="J2" s="6">
        <f t="shared" ref="J2:J4" si="2">F2*H2</f>
        <v>1530.75</v>
      </c>
      <c r="K2" s="6">
        <f t="shared" ref="K2:K4" si="3">I2-J2</f>
        <v>336.75</v>
      </c>
      <c r="L2" s="7">
        <f t="shared" ref="L2:L4" si="4">IF(J2&lt;&gt;0,K2/J2,0)</f>
        <v>0.2199902009</v>
      </c>
      <c r="M2" s="8" t="str">
        <f t="shared" ref="M2:M500" si="5">IF(AND(D2&lt;&gt;"",E2&lt;&gt;""),IF((DATEVALUE(E2)-DATEVALUE(D2))&gt;365,"Long Term","Short Term"),"")</f>
        <v>Short Term</v>
      </c>
      <c r="N2" s="8"/>
      <c r="O2" s="6"/>
    </row>
    <row r="3">
      <c r="A3" s="8" t="s">
        <v>92</v>
      </c>
      <c r="B3" s="8" t="s">
        <v>93</v>
      </c>
      <c r="C3" s="8" t="s">
        <v>8</v>
      </c>
      <c r="D3" s="8" t="s">
        <v>94</v>
      </c>
      <c r="E3" s="8" t="s">
        <v>95</v>
      </c>
      <c r="F3" s="8">
        <v>15.0</v>
      </c>
      <c r="G3" s="6">
        <v>766.0</v>
      </c>
      <c r="H3" s="6">
        <v>726.37</v>
      </c>
      <c r="I3" s="6">
        <f t="shared" si="1"/>
        <v>11490</v>
      </c>
      <c r="J3" s="6">
        <f t="shared" si="2"/>
        <v>10895.55</v>
      </c>
      <c r="K3" s="6">
        <f t="shared" si="3"/>
        <v>594.45</v>
      </c>
      <c r="L3" s="7">
        <f t="shared" si="4"/>
        <v>0.05455897132</v>
      </c>
      <c r="M3" s="8" t="str">
        <f t="shared" si="5"/>
        <v>Short Term</v>
      </c>
      <c r="N3" s="8"/>
      <c r="O3" s="6"/>
    </row>
    <row r="4">
      <c r="A4" s="8" t="s">
        <v>96</v>
      </c>
      <c r="B4" s="8" t="s">
        <v>97</v>
      </c>
      <c r="C4" s="8" t="s">
        <v>8</v>
      </c>
      <c r="D4" s="8" t="s">
        <v>98</v>
      </c>
      <c r="E4" s="8" t="s">
        <v>99</v>
      </c>
      <c r="F4" s="8">
        <v>200.0</v>
      </c>
      <c r="G4" s="6">
        <v>6.51</v>
      </c>
      <c r="H4" s="6">
        <v>6.9</v>
      </c>
      <c r="I4" s="6">
        <f t="shared" si="1"/>
        <v>1302</v>
      </c>
      <c r="J4" s="6">
        <f t="shared" si="2"/>
        <v>1380</v>
      </c>
      <c r="K4" s="6">
        <f t="shared" si="3"/>
        <v>-78</v>
      </c>
      <c r="L4" s="7">
        <f t="shared" si="4"/>
        <v>-0.05652173913</v>
      </c>
      <c r="M4" s="8" t="str">
        <f t="shared" si="5"/>
        <v>Short Term</v>
      </c>
      <c r="N4" s="8"/>
      <c r="O4" s="6"/>
    </row>
    <row r="5">
      <c r="C5" s="12"/>
      <c r="I5" s="12" t="str">
        <f t="shared" ref="I5:I500" si="6">IF(F5&lt;&gt;"",F5*G5,"")</f>
        <v/>
      </c>
      <c r="J5" s="12" t="str">
        <f t="shared" ref="J5:J500" si="7">IF(F5&lt;&gt;"",F5*H5,"")</f>
        <v/>
      </c>
      <c r="K5" s="12" t="str">
        <f t="shared" ref="K5:K500" si="8">IF(J5&lt;&gt;"",I5-J5,"")</f>
        <v/>
      </c>
      <c r="L5" s="12" t="str">
        <f t="shared" ref="L5:L500" si="9">IF(AND(J5&lt;&gt;"",J5&lt;&gt;0),K5/J5,"")</f>
        <v/>
      </c>
      <c r="M5" s="12" t="str">
        <f t="shared" si="5"/>
        <v/>
      </c>
    </row>
    <row r="6">
      <c r="A6" s="3" t="s">
        <v>100</v>
      </c>
      <c r="C6" s="12"/>
      <c r="I6" s="12" t="str">
        <f t="shared" si="6"/>
        <v/>
      </c>
      <c r="J6" s="12" t="str">
        <f t="shared" si="7"/>
        <v/>
      </c>
      <c r="K6" s="12" t="str">
        <f t="shared" si="8"/>
        <v/>
      </c>
      <c r="L6" s="12" t="str">
        <f t="shared" si="9"/>
        <v/>
      </c>
      <c r="M6" s="12" t="str">
        <f t="shared" si="5"/>
        <v/>
      </c>
    </row>
    <row r="7">
      <c r="A7" s="12" t="s">
        <v>101</v>
      </c>
      <c r="C7" s="12"/>
      <c r="I7" s="12" t="str">
        <f t="shared" si="6"/>
        <v/>
      </c>
      <c r="J7" s="12" t="str">
        <f t="shared" si="7"/>
        <v/>
      </c>
      <c r="K7" s="14" t="str">
        <f t="shared" si="8"/>
        <v/>
      </c>
      <c r="L7" s="12" t="str">
        <f t="shared" si="9"/>
        <v/>
      </c>
      <c r="M7" s="12" t="str">
        <f t="shared" si="5"/>
        <v/>
      </c>
    </row>
    <row r="8">
      <c r="C8" s="12"/>
      <c r="I8" s="12" t="str">
        <f t="shared" si="6"/>
        <v/>
      </c>
      <c r="J8" s="12" t="str">
        <f t="shared" si="7"/>
        <v/>
      </c>
      <c r="K8" s="12" t="str">
        <f t="shared" si="8"/>
        <v/>
      </c>
      <c r="L8" s="12" t="str">
        <f t="shared" si="9"/>
        <v/>
      </c>
      <c r="M8" s="12" t="str">
        <f t="shared" si="5"/>
        <v/>
      </c>
    </row>
    <row r="9">
      <c r="C9" s="12"/>
      <c r="I9" s="12" t="str">
        <f t="shared" si="6"/>
        <v/>
      </c>
      <c r="J9" s="12" t="str">
        <f t="shared" si="7"/>
        <v/>
      </c>
      <c r="K9" s="12" t="str">
        <f t="shared" si="8"/>
        <v/>
      </c>
      <c r="L9" s="12" t="str">
        <f t="shared" si="9"/>
        <v/>
      </c>
      <c r="M9" s="12" t="str">
        <f t="shared" si="5"/>
        <v/>
      </c>
    </row>
    <row r="10">
      <c r="C10" s="12"/>
      <c r="I10" s="12" t="str">
        <f t="shared" si="6"/>
        <v/>
      </c>
      <c r="J10" s="12" t="str">
        <f t="shared" si="7"/>
        <v/>
      </c>
      <c r="K10" s="12" t="str">
        <f t="shared" si="8"/>
        <v/>
      </c>
      <c r="L10" s="12" t="str">
        <f t="shared" si="9"/>
        <v/>
      </c>
      <c r="M10" s="12" t="str">
        <f t="shared" si="5"/>
        <v/>
      </c>
    </row>
    <row r="11">
      <c r="C11" s="12"/>
      <c r="I11" s="12" t="str">
        <f t="shared" si="6"/>
        <v/>
      </c>
      <c r="J11" s="12" t="str">
        <f t="shared" si="7"/>
        <v/>
      </c>
      <c r="K11" s="12" t="str">
        <f t="shared" si="8"/>
        <v/>
      </c>
      <c r="L11" s="12" t="str">
        <f t="shared" si="9"/>
        <v/>
      </c>
      <c r="M11" s="12" t="str">
        <f t="shared" si="5"/>
        <v/>
      </c>
    </row>
    <row r="12">
      <c r="C12" s="12"/>
      <c r="I12" s="12" t="str">
        <f t="shared" si="6"/>
        <v/>
      </c>
      <c r="J12" s="12" t="str">
        <f t="shared" si="7"/>
        <v/>
      </c>
      <c r="K12" s="12" t="str">
        <f t="shared" si="8"/>
        <v/>
      </c>
      <c r="L12" s="12" t="str">
        <f t="shared" si="9"/>
        <v/>
      </c>
      <c r="M12" s="12" t="str">
        <f t="shared" si="5"/>
        <v/>
      </c>
    </row>
    <row r="13">
      <c r="C13" s="12"/>
      <c r="I13" s="12" t="str">
        <f t="shared" si="6"/>
        <v/>
      </c>
      <c r="J13" s="12" t="str">
        <f t="shared" si="7"/>
        <v/>
      </c>
      <c r="K13" s="12" t="str">
        <f t="shared" si="8"/>
        <v/>
      </c>
      <c r="L13" s="12" t="str">
        <f t="shared" si="9"/>
        <v/>
      </c>
      <c r="M13" s="12" t="str">
        <f t="shared" si="5"/>
        <v/>
      </c>
    </row>
    <row r="14">
      <c r="C14" s="12"/>
      <c r="I14" s="12" t="str">
        <f t="shared" si="6"/>
        <v/>
      </c>
      <c r="J14" s="12" t="str">
        <f t="shared" si="7"/>
        <v/>
      </c>
      <c r="K14" s="12" t="str">
        <f t="shared" si="8"/>
        <v/>
      </c>
      <c r="L14" s="12" t="str">
        <f t="shared" si="9"/>
        <v/>
      </c>
      <c r="M14" s="12" t="str">
        <f t="shared" si="5"/>
        <v/>
      </c>
    </row>
    <row r="15">
      <c r="C15" s="12"/>
      <c r="I15" s="12" t="str">
        <f t="shared" si="6"/>
        <v/>
      </c>
      <c r="J15" s="12" t="str">
        <f t="shared" si="7"/>
        <v/>
      </c>
      <c r="K15" s="12" t="str">
        <f t="shared" si="8"/>
        <v/>
      </c>
      <c r="L15" s="12" t="str">
        <f t="shared" si="9"/>
        <v/>
      </c>
      <c r="M15" s="12" t="str">
        <f t="shared" si="5"/>
        <v/>
      </c>
    </row>
    <row r="16">
      <c r="C16" s="12"/>
      <c r="I16" s="12" t="str">
        <f t="shared" si="6"/>
        <v/>
      </c>
      <c r="J16" s="12" t="str">
        <f t="shared" si="7"/>
        <v/>
      </c>
      <c r="K16" s="12" t="str">
        <f t="shared" si="8"/>
        <v/>
      </c>
      <c r="L16" s="12" t="str">
        <f t="shared" si="9"/>
        <v/>
      </c>
      <c r="M16" s="12" t="str">
        <f t="shared" si="5"/>
        <v/>
      </c>
    </row>
    <row r="17">
      <c r="C17" s="12"/>
      <c r="I17" s="12" t="str">
        <f t="shared" si="6"/>
        <v/>
      </c>
      <c r="J17" s="12" t="str">
        <f t="shared" si="7"/>
        <v/>
      </c>
      <c r="K17" s="12" t="str">
        <f t="shared" si="8"/>
        <v/>
      </c>
      <c r="L17" s="12" t="str">
        <f t="shared" si="9"/>
        <v/>
      </c>
      <c r="M17" s="12" t="str">
        <f t="shared" si="5"/>
        <v/>
      </c>
    </row>
    <row r="18">
      <c r="C18" s="12"/>
      <c r="I18" s="12" t="str">
        <f t="shared" si="6"/>
        <v/>
      </c>
      <c r="J18" s="12" t="str">
        <f t="shared" si="7"/>
        <v/>
      </c>
      <c r="K18" s="12" t="str">
        <f t="shared" si="8"/>
        <v/>
      </c>
      <c r="L18" s="12" t="str">
        <f t="shared" si="9"/>
        <v/>
      </c>
      <c r="M18" s="12" t="str">
        <f t="shared" si="5"/>
        <v/>
      </c>
    </row>
    <row r="19">
      <c r="C19" s="12"/>
      <c r="I19" s="12" t="str">
        <f t="shared" si="6"/>
        <v/>
      </c>
      <c r="J19" s="12" t="str">
        <f t="shared" si="7"/>
        <v/>
      </c>
      <c r="K19" s="12" t="str">
        <f t="shared" si="8"/>
        <v/>
      </c>
      <c r="L19" s="12" t="str">
        <f t="shared" si="9"/>
        <v/>
      </c>
      <c r="M19" s="12" t="str">
        <f t="shared" si="5"/>
        <v/>
      </c>
    </row>
    <row r="20">
      <c r="C20" s="12"/>
      <c r="I20" s="12" t="str">
        <f t="shared" si="6"/>
        <v/>
      </c>
      <c r="J20" s="12" t="str">
        <f t="shared" si="7"/>
        <v/>
      </c>
      <c r="K20" s="12" t="str">
        <f t="shared" si="8"/>
        <v/>
      </c>
      <c r="L20" s="12" t="str">
        <f t="shared" si="9"/>
        <v/>
      </c>
      <c r="M20" s="12" t="str">
        <f t="shared" si="5"/>
        <v/>
      </c>
    </row>
    <row r="21" ht="15.75" customHeight="1">
      <c r="C21" s="12"/>
      <c r="I21" s="12" t="str">
        <f t="shared" si="6"/>
        <v/>
      </c>
      <c r="J21" s="12" t="str">
        <f t="shared" si="7"/>
        <v/>
      </c>
      <c r="K21" s="12" t="str">
        <f t="shared" si="8"/>
        <v/>
      </c>
      <c r="L21" s="12" t="str">
        <f t="shared" si="9"/>
        <v/>
      </c>
      <c r="M21" s="12" t="str">
        <f t="shared" si="5"/>
        <v/>
      </c>
    </row>
    <row r="22" ht="15.75" customHeight="1">
      <c r="C22" s="12"/>
      <c r="I22" s="12" t="str">
        <f t="shared" si="6"/>
        <v/>
      </c>
      <c r="J22" s="12" t="str">
        <f t="shared" si="7"/>
        <v/>
      </c>
      <c r="K22" s="12" t="str">
        <f t="shared" si="8"/>
        <v/>
      </c>
      <c r="L22" s="12" t="str">
        <f t="shared" si="9"/>
        <v/>
      </c>
      <c r="M22" s="12" t="str">
        <f t="shared" si="5"/>
        <v/>
      </c>
    </row>
    <row r="23" ht="15.75" customHeight="1">
      <c r="C23" s="12"/>
      <c r="I23" s="12" t="str">
        <f t="shared" si="6"/>
        <v/>
      </c>
      <c r="J23" s="12" t="str">
        <f t="shared" si="7"/>
        <v/>
      </c>
      <c r="K23" s="12" t="str">
        <f t="shared" si="8"/>
        <v/>
      </c>
      <c r="L23" s="12" t="str">
        <f t="shared" si="9"/>
        <v/>
      </c>
      <c r="M23" s="12" t="str">
        <f t="shared" si="5"/>
        <v/>
      </c>
    </row>
    <row r="24" ht="15.75" customHeight="1">
      <c r="C24" s="12"/>
      <c r="I24" s="12" t="str">
        <f t="shared" si="6"/>
        <v/>
      </c>
      <c r="J24" s="12" t="str">
        <f t="shared" si="7"/>
        <v/>
      </c>
      <c r="K24" s="12" t="str">
        <f t="shared" si="8"/>
        <v/>
      </c>
      <c r="L24" s="12" t="str">
        <f t="shared" si="9"/>
        <v/>
      </c>
      <c r="M24" s="12" t="str">
        <f t="shared" si="5"/>
        <v/>
      </c>
    </row>
    <row r="25" ht="15.75" customHeight="1">
      <c r="C25" s="12"/>
      <c r="I25" s="12" t="str">
        <f t="shared" si="6"/>
        <v/>
      </c>
      <c r="J25" s="12" t="str">
        <f t="shared" si="7"/>
        <v/>
      </c>
      <c r="K25" s="12" t="str">
        <f t="shared" si="8"/>
        <v/>
      </c>
      <c r="L25" s="12" t="str">
        <f t="shared" si="9"/>
        <v/>
      </c>
      <c r="M25" s="12" t="str">
        <f t="shared" si="5"/>
        <v/>
      </c>
    </row>
    <row r="26" ht="15.75" customHeight="1">
      <c r="C26" s="12"/>
      <c r="I26" s="12" t="str">
        <f t="shared" si="6"/>
        <v/>
      </c>
      <c r="J26" s="12" t="str">
        <f t="shared" si="7"/>
        <v/>
      </c>
      <c r="K26" s="12" t="str">
        <f t="shared" si="8"/>
        <v/>
      </c>
      <c r="L26" s="12" t="str">
        <f t="shared" si="9"/>
        <v/>
      </c>
      <c r="M26" s="12" t="str">
        <f t="shared" si="5"/>
        <v/>
      </c>
    </row>
    <row r="27" ht="15.75" customHeight="1">
      <c r="C27" s="12"/>
      <c r="I27" s="12" t="str">
        <f t="shared" si="6"/>
        <v/>
      </c>
      <c r="J27" s="12" t="str">
        <f t="shared" si="7"/>
        <v/>
      </c>
      <c r="K27" s="12" t="str">
        <f t="shared" si="8"/>
        <v/>
      </c>
      <c r="L27" s="12" t="str">
        <f t="shared" si="9"/>
        <v/>
      </c>
      <c r="M27" s="12" t="str">
        <f t="shared" si="5"/>
        <v/>
      </c>
    </row>
    <row r="28" ht="15.75" customHeight="1">
      <c r="C28" s="12"/>
      <c r="I28" s="12" t="str">
        <f t="shared" si="6"/>
        <v/>
      </c>
      <c r="J28" s="12" t="str">
        <f t="shared" si="7"/>
        <v/>
      </c>
      <c r="K28" s="12" t="str">
        <f t="shared" si="8"/>
        <v/>
      </c>
      <c r="L28" s="12" t="str">
        <f t="shared" si="9"/>
        <v/>
      </c>
      <c r="M28" s="12" t="str">
        <f t="shared" si="5"/>
        <v/>
      </c>
    </row>
    <row r="29" ht="15.75" customHeight="1">
      <c r="C29" s="12"/>
      <c r="I29" s="12" t="str">
        <f t="shared" si="6"/>
        <v/>
      </c>
      <c r="J29" s="12" t="str">
        <f t="shared" si="7"/>
        <v/>
      </c>
      <c r="K29" s="12" t="str">
        <f t="shared" si="8"/>
        <v/>
      </c>
      <c r="L29" s="12" t="str">
        <f t="shared" si="9"/>
        <v/>
      </c>
      <c r="M29" s="12" t="str">
        <f t="shared" si="5"/>
        <v/>
      </c>
    </row>
    <row r="30" ht="15.75" customHeight="1">
      <c r="C30" s="12"/>
      <c r="I30" s="12" t="str">
        <f t="shared" si="6"/>
        <v/>
      </c>
      <c r="J30" s="12" t="str">
        <f t="shared" si="7"/>
        <v/>
      </c>
      <c r="K30" s="12" t="str">
        <f t="shared" si="8"/>
        <v/>
      </c>
      <c r="L30" s="12" t="str">
        <f t="shared" si="9"/>
        <v/>
      </c>
      <c r="M30" s="12" t="str">
        <f t="shared" si="5"/>
        <v/>
      </c>
    </row>
    <row r="31" ht="15.75" customHeight="1">
      <c r="C31" s="12"/>
      <c r="I31" s="12" t="str">
        <f t="shared" si="6"/>
        <v/>
      </c>
      <c r="J31" s="12" t="str">
        <f t="shared" si="7"/>
        <v/>
      </c>
      <c r="K31" s="12" t="str">
        <f t="shared" si="8"/>
        <v/>
      </c>
      <c r="L31" s="12" t="str">
        <f t="shared" si="9"/>
        <v/>
      </c>
      <c r="M31" s="12" t="str">
        <f t="shared" si="5"/>
        <v/>
      </c>
    </row>
    <row r="32" ht="15.75" customHeight="1">
      <c r="C32" s="12"/>
      <c r="I32" s="12" t="str">
        <f t="shared" si="6"/>
        <v/>
      </c>
      <c r="J32" s="12" t="str">
        <f t="shared" si="7"/>
        <v/>
      </c>
      <c r="K32" s="12" t="str">
        <f t="shared" si="8"/>
        <v/>
      </c>
      <c r="L32" s="12" t="str">
        <f t="shared" si="9"/>
        <v/>
      </c>
      <c r="M32" s="12" t="str">
        <f t="shared" si="5"/>
        <v/>
      </c>
    </row>
    <row r="33" ht="15.75" customHeight="1">
      <c r="C33" s="12"/>
      <c r="I33" s="12" t="str">
        <f t="shared" si="6"/>
        <v/>
      </c>
      <c r="J33" s="12" t="str">
        <f t="shared" si="7"/>
        <v/>
      </c>
      <c r="K33" s="12" t="str">
        <f t="shared" si="8"/>
        <v/>
      </c>
      <c r="L33" s="12" t="str">
        <f t="shared" si="9"/>
        <v/>
      </c>
      <c r="M33" s="12" t="str">
        <f t="shared" si="5"/>
        <v/>
      </c>
    </row>
    <row r="34" ht="15.75" customHeight="1">
      <c r="C34" s="12"/>
      <c r="I34" s="12" t="str">
        <f t="shared" si="6"/>
        <v/>
      </c>
      <c r="J34" s="12" t="str">
        <f t="shared" si="7"/>
        <v/>
      </c>
      <c r="K34" s="12" t="str">
        <f t="shared" si="8"/>
        <v/>
      </c>
      <c r="L34" s="12" t="str">
        <f t="shared" si="9"/>
        <v/>
      </c>
      <c r="M34" s="12" t="str">
        <f t="shared" si="5"/>
        <v/>
      </c>
    </row>
    <row r="35" ht="15.75" customHeight="1">
      <c r="C35" s="12"/>
      <c r="I35" s="12" t="str">
        <f t="shared" si="6"/>
        <v/>
      </c>
      <c r="J35" s="12" t="str">
        <f t="shared" si="7"/>
        <v/>
      </c>
      <c r="K35" s="12" t="str">
        <f t="shared" si="8"/>
        <v/>
      </c>
      <c r="L35" s="12" t="str">
        <f t="shared" si="9"/>
        <v/>
      </c>
      <c r="M35" s="12" t="str">
        <f t="shared" si="5"/>
        <v/>
      </c>
    </row>
    <row r="36" ht="15.75" customHeight="1">
      <c r="C36" s="12"/>
      <c r="I36" s="12" t="str">
        <f t="shared" si="6"/>
        <v/>
      </c>
      <c r="J36" s="12" t="str">
        <f t="shared" si="7"/>
        <v/>
      </c>
      <c r="K36" s="12" t="str">
        <f t="shared" si="8"/>
        <v/>
      </c>
      <c r="L36" s="12" t="str">
        <f t="shared" si="9"/>
        <v/>
      </c>
      <c r="M36" s="12" t="str">
        <f t="shared" si="5"/>
        <v/>
      </c>
    </row>
    <row r="37" ht="15.75" customHeight="1">
      <c r="C37" s="12"/>
      <c r="I37" s="12" t="str">
        <f t="shared" si="6"/>
        <v/>
      </c>
      <c r="J37" s="12" t="str">
        <f t="shared" si="7"/>
        <v/>
      </c>
      <c r="K37" s="12" t="str">
        <f t="shared" si="8"/>
        <v/>
      </c>
      <c r="L37" s="12" t="str">
        <f t="shared" si="9"/>
        <v/>
      </c>
      <c r="M37" s="12" t="str">
        <f t="shared" si="5"/>
        <v/>
      </c>
    </row>
    <row r="38" ht="15.75" customHeight="1">
      <c r="C38" s="12"/>
      <c r="I38" s="12" t="str">
        <f t="shared" si="6"/>
        <v/>
      </c>
      <c r="J38" s="12" t="str">
        <f t="shared" si="7"/>
        <v/>
      </c>
      <c r="K38" s="12" t="str">
        <f t="shared" si="8"/>
        <v/>
      </c>
      <c r="L38" s="12" t="str">
        <f t="shared" si="9"/>
        <v/>
      </c>
      <c r="M38" s="12" t="str">
        <f t="shared" si="5"/>
        <v/>
      </c>
    </row>
    <row r="39" ht="15.75" customHeight="1">
      <c r="C39" s="12"/>
      <c r="I39" s="12" t="str">
        <f t="shared" si="6"/>
        <v/>
      </c>
      <c r="J39" s="12" t="str">
        <f t="shared" si="7"/>
        <v/>
      </c>
      <c r="K39" s="12" t="str">
        <f t="shared" si="8"/>
        <v/>
      </c>
      <c r="L39" s="12" t="str">
        <f t="shared" si="9"/>
        <v/>
      </c>
      <c r="M39" s="12" t="str">
        <f t="shared" si="5"/>
        <v/>
      </c>
    </row>
    <row r="40" ht="15.75" customHeight="1">
      <c r="C40" s="12"/>
      <c r="I40" s="12" t="str">
        <f t="shared" si="6"/>
        <v/>
      </c>
      <c r="J40" s="12" t="str">
        <f t="shared" si="7"/>
        <v/>
      </c>
      <c r="K40" s="12" t="str">
        <f t="shared" si="8"/>
        <v/>
      </c>
      <c r="L40" s="12" t="str">
        <f t="shared" si="9"/>
        <v/>
      </c>
      <c r="M40" s="12" t="str">
        <f t="shared" si="5"/>
        <v/>
      </c>
    </row>
    <row r="41" ht="15.75" customHeight="1">
      <c r="C41" s="12"/>
      <c r="I41" s="12" t="str">
        <f t="shared" si="6"/>
        <v/>
      </c>
      <c r="J41" s="12" t="str">
        <f t="shared" si="7"/>
        <v/>
      </c>
      <c r="K41" s="12" t="str">
        <f t="shared" si="8"/>
        <v/>
      </c>
      <c r="L41" s="12" t="str">
        <f t="shared" si="9"/>
        <v/>
      </c>
      <c r="M41" s="12" t="str">
        <f t="shared" si="5"/>
        <v/>
      </c>
    </row>
    <row r="42" ht="15.75" customHeight="1">
      <c r="C42" s="12"/>
      <c r="I42" s="12" t="str">
        <f t="shared" si="6"/>
        <v/>
      </c>
      <c r="J42" s="12" t="str">
        <f t="shared" si="7"/>
        <v/>
      </c>
      <c r="K42" s="12" t="str">
        <f t="shared" si="8"/>
        <v/>
      </c>
      <c r="L42" s="12" t="str">
        <f t="shared" si="9"/>
        <v/>
      </c>
      <c r="M42" s="12" t="str">
        <f t="shared" si="5"/>
        <v/>
      </c>
    </row>
    <row r="43" ht="15.75" customHeight="1">
      <c r="C43" s="12"/>
      <c r="I43" s="12" t="str">
        <f t="shared" si="6"/>
        <v/>
      </c>
      <c r="J43" s="12" t="str">
        <f t="shared" si="7"/>
        <v/>
      </c>
      <c r="K43" s="12" t="str">
        <f t="shared" si="8"/>
        <v/>
      </c>
      <c r="L43" s="12" t="str">
        <f t="shared" si="9"/>
        <v/>
      </c>
      <c r="M43" s="12" t="str">
        <f t="shared" si="5"/>
        <v/>
      </c>
    </row>
    <row r="44" ht="15.75" customHeight="1">
      <c r="C44" s="12"/>
      <c r="I44" s="12" t="str">
        <f t="shared" si="6"/>
        <v/>
      </c>
      <c r="J44" s="12" t="str">
        <f t="shared" si="7"/>
        <v/>
      </c>
      <c r="K44" s="12" t="str">
        <f t="shared" si="8"/>
        <v/>
      </c>
      <c r="L44" s="12" t="str">
        <f t="shared" si="9"/>
        <v/>
      </c>
      <c r="M44" s="12" t="str">
        <f t="shared" si="5"/>
        <v/>
      </c>
    </row>
    <row r="45" ht="15.75" customHeight="1">
      <c r="C45" s="12"/>
      <c r="I45" s="12" t="str">
        <f t="shared" si="6"/>
        <v/>
      </c>
      <c r="J45" s="12" t="str">
        <f t="shared" si="7"/>
        <v/>
      </c>
      <c r="K45" s="12" t="str">
        <f t="shared" si="8"/>
        <v/>
      </c>
      <c r="L45" s="12" t="str">
        <f t="shared" si="9"/>
        <v/>
      </c>
      <c r="M45" s="12" t="str">
        <f t="shared" si="5"/>
        <v/>
      </c>
    </row>
    <row r="46" ht="15.75" customHeight="1">
      <c r="C46" s="12"/>
      <c r="I46" s="12" t="str">
        <f t="shared" si="6"/>
        <v/>
      </c>
      <c r="J46" s="12" t="str">
        <f t="shared" si="7"/>
        <v/>
      </c>
      <c r="K46" s="12" t="str">
        <f t="shared" si="8"/>
        <v/>
      </c>
      <c r="L46" s="12" t="str">
        <f t="shared" si="9"/>
        <v/>
      </c>
      <c r="M46" s="12" t="str">
        <f t="shared" si="5"/>
        <v/>
      </c>
    </row>
    <row r="47" ht="15.75" customHeight="1">
      <c r="C47" s="12"/>
      <c r="I47" s="12" t="str">
        <f t="shared" si="6"/>
        <v/>
      </c>
      <c r="J47" s="12" t="str">
        <f t="shared" si="7"/>
        <v/>
      </c>
      <c r="K47" s="12" t="str">
        <f t="shared" si="8"/>
        <v/>
      </c>
      <c r="L47" s="12" t="str">
        <f t="shared" si="9"/>
        <v/>
      </c>
      <c r="M47" s="12" t="str">
        <f t="shared" si="5"/>
        <v/>
      </c>
    </row>
    <row r="48" ht="15.75" customHeight="1">
      <c r="C48" s="12"/>
      <c r="I48" s="12" t="str">
        <f t="shared" si="6"/>
        <v/>
      </c>
      <c r="J48" s="12" t="str">
        <f t="shared" si="7"/>
        <v/>
      </c>
      <c r="K48" s="12" t="str">
        <f t="shared" si="8"/>
        <v/>
      </c>
      <c r="L48" s="12" t="str">
        <f t="shared" si="9"/>
        <v/>
      </c>
      <c r="M48" s="12" t="str">
        <f t="shared" si="5"/>
        <v/>
      </c>
    </row>
    <row r="49" ht="15.75" customHeight="1">
      <c r="C49" s="12"/>
      <c r="I49" s="12" t="str">
        <f t="shared" si="6"/>
        <v/>
      </c>
      <c r="J49" s="12" t="str">
        <f t="shared" si="7"/>
        <v/>
      </c>
      <c r="K49" s="12" t="str">
        <f t="shared" si="8"/>
        <v/>
      </c>
      <c r="L49" s="12" t="str">
        <f t="shared" si="9"/>
        <v/>
      </c>
      <c r="M49" s="12" t="str">
        <f t="shared" si="5"/>
        <v/>
      </c>
    </row>
    <row r="50" ht="15.75" customHeight="1">
      <c r="C50" s="12"/>
      <c r="I50" s="12" t="str">
        <f t="shared" si="6"/>
        <v/>
      </c>
      <c r="J50" s="12" t="str">
        <f t="shared" si="7"/>
        <v/>
      </c>
      <c r="K50" s="12" t="str">
        <f t="shared" si="8"/>
        <v/>
      </c>
      <c r="L50" s="12" t="str">
        <f t="shared" si="9"/>
        <v/>
      </c>
      <c r="M50" s="12" t="str">
        <f t="shared" si="5"/>
        <v/>
      </c>
    </row>
    <row r="51" ht="15.75" customHeight="1">
      <c r="C51" s="12"/>
      <c r="I51" s="12" t="str">
        <f t="shared" si="6"/>
        <v/>
      </c>
      <c r="J51" s="12" t="str">
        <f t="shared" si="7"/>
        <v/>
      </c>
      <c r="K51" s="12" t="str">
        <f t="shared" si="8"/>
        <v/>
      </c>
      <c r="L51" s="12" t="str">
        <f t="shared" si="9"/>
        <v/>
      </c>
      <c r="M51" s="12" t="str">
        <f t="shared" si="5"/>
        <v/>
      </c>
    </row>
    <row r="52" ht="15.75" customHeight="1">
      <c r="C52" s="12"/>
      <c r="I52" s="12" t="str">
        <f t="shared" si="6"/>
        <v/>
      </c>
      <c r="J52" s="12" t="str">
        <f t="shared" si="7"/>
        <v/>
      </c>
      <c r="K52" s="12" t="str">
        <f t="shared" si="8"/>
        <v/>
      </c>
      <c r="L52" s="12" t="str">
        <f t="shared" si="9"/>
        <v/>
      </c>
      <c r="M52" s="12" t="str">
        <f t="shared" si="5"/>
        <v/>
      </c>
    </row>
    <row r="53" ht="15.75" customHeight="1">
      <c r="C53" s="12"/>
      <c r="I53" s="12" t="str">
        <f t="shared" si="6"/>
        <v/>
      </c>
      <c r="J53" s="12" t="str">
        <f t="shared" si="7"/>
        <v/>
      </c>
      <c r="K53" s="12" t="str">
        <f t="shared" si="8"/>
        <v/>
      </c>
      <c r="L53" s="12" t="str">
        <f t="shared" si="9"/>
        <v/>
      </c>
      <c r="M53" s="12" t="str">
        <f t="shared" si="5"/>
        <v/>
      </c>
    </row>
    <row r="54" ht="15.75" customHeight="1">
      <c r="C54" s="12"/>
      <c r="I54" s="12" t="str">
        <f t="shared" si="6"/>
        <v/>
      </c>
      <c r="J54" s="12" t="str">
        <f t="shared" si="7"/>
        <v/>
      </c>
      <c r="K54" s="12" t="str">
        <f t="shared" si="8"/>
        <v/>
      </c>
      <c r="L54" s="12" t="str">
        <f t="shared" si="9"/>
        <v/>
      </c>
      <c r="M54" s="12" t="str">
        <f t="shared" si="5"/>
        <v/>
      </c>
    </row>
    <row r="55" ht="15.75" customHeight="1">
      <c r="C55" s="12"/>
      <c r="I55" s="12" t="str">
        <f t="shared" si="6"/>
        <v/>
      </c>
      <c r="J55" s="12" t="str">
        <f t="shared" si="7"/>
        <v/>
      </c>
      <c r="K55" s="12" t="str">
        <f t="shared" si="8"/>
        <v/>
      </c>
      <c r="L55" s="12" t="str">
        <f t="shared" si="9"/>
        <v/>
      </c>
      <c r="M55" s="12" t="str">
        <f t="shared" si="5"/>
        <v/>
      </c>
    </row>
    <row r="56" ht="15.75" customHeight="1">
      <c r="C56" s="12"/>
      <c r="I56" s="12" t="str">
        <f t="shared" si="6"/>
        <v/>
      </c>
      <c r="J56" s="12" t="str">
        <f t="shared" si="7"/>
        <v/>
      </c>
      <c r="K56" s="12" t="str">
        <f t="shared" si="8"/>
        <v/>
      </c>
      <c r="L56" s="12" t="str">
        <f t="shared" si="9"/>
        <v/>
      </c>
      <c r="M56" s="12" t="str">
        <f t="shared" si="5"/>
        <v/>
      </c>
    </row>
    <row r="57" ht="15.75" customHeight="1">
      <c r="C57" s="12"/>
      <c r="I57" s="12" t="str">
        <f t="shared" si="6"/>
        <v/>
      </c>
      <c r="J57" s="12" t="str">
        <f t="shared" si="7"/>
        <v/>
      </c>
      <c r="K57" s="12" t="str">
        <f t="shared" si="8"/>
        <v/>
      </c>
      <c r="L57" s="12" t="str">
        <f t="shared" si="9"/>
        <v/>
      </c>
      <c r="M57" s="12" t="str">
        <f t="shared" si="5"/>
        <v/>
      </c>
    </row>
    <row r="58" ht="15.75" customHeight="1">
      <c r="C58" s="12"/>
      <c r="I58" s="12" t="str">
        <f t="shared" si="6"/>
        <v/>
      </c>
      <c r="J58" s="12" t="str">
        <f t="shared" si="7"/>
        <v/>
      </c>
      <c r="K58" s="12" t="str">
        <f t="shared" si="8"/>
        <v/>
      </c>
      <c r="L58" s="12" t="str">
        <f t="shared" si="9"/>
        <v/>
      </c>
      <c r="M58" s="12" t="str">
        <f t="shared" si="5"/>
        <v/>
      </c>
    </row>
    <row r="59" ht="15.75" customHeight="1">
      <c r="C59" s="12"/>
      <c r="I59" s="12" t="str">
        <f t="shared" si="6"/>
        <v/>
      </c>
      <c r="J59" s="12" t="str">
        <f t="shared" si="7"/>
        <v/>
      </c>
      <c r="K59" s="12" t="str">
        <f t="shared" si="8"/>
        <v/>
      </c>
      <c r="L59" s="12" t="str">
        <f t="shared" si="9"/>
        <v/>
      </c>
      <c r="M59" s="12" t="str">
        <f t="shared" si="5"/>
        <v/>
      </c>
    </row>
    <row r="60" ht="15.75" customHeight="1">
      <c r="C60" s="12"/>
      <c r="I60" s="12" t="str">
        <f t="shared" si="6"/>
        <v/>
      </c>
      <c r="J60" s="12" t="str">
        <f t="shared" si="7"/>
        <v/>
      </c>
      <c r="K60" s="12" t="str">
        <f t="shared" si="8"/>
        <v/>
      </c>
      <c r="L60" s="12" t="str">
        <f t="shared" si="9"/>
        <v/>
      </c>
      <c r="M60" s="12" t="str">
        <f t="shared" si="5"/>
        <v/>
      </c>
    </row>
    <row r="61" ht="15.75" customHeight="1">
      <c r="C61" s="12"/>
      <c r="I61" s="12" t="str">
        <f t="shared" si="6"/>
        <v/>
      </c>
      <c r="J61" s="12" t="str">
        <f t="shared" si="7"/>
        <v/>
      </c>
      <c r="K61" s="12" t="str">
        <f t="shared" si="8"/>
        <v/>
      </c>
      <c r="L61" s="12" t="str">
        <f t="shared" si="9"/>
        <v/>
      </c>
      <c r="M61" s="12" t="str">
        <f t="shared" si="5"/>
        <v/>
      </c>
    </row>
    <row r="62" ht="15.75" customHeight="1">
      <c r="C62" s="12"/>
      <c r="I62" s="12" t="str">
        <f t="shared" si="6"/>
        <v/>
      </c>
      <c r="J62" s="12" t="str">
        <f t="shared" si="7"/>
        <v/>
      </c>
      <c r="K62" s="12" t="str">
        <f t="shared" si="8"/>
        <v/>
      </c>
      <c r="L62" s="12" t="str">
        <f t="shared" si="9"/>
        <v/>
      </c>
      <c r="M62" s="12" t="str">
        <f t="shared" si="5"/>
        <v/>
      </c>
    </row>
    <row r="63" ht="15.75" customHeight="1">
      <c r="C63" s="12"/>
      <c r="I63" s="12" t="str">
        <f t="shared" si="6"/>
        <v/>
      </c>
      <c r="J63" s="12" t="str">
        <f t="shared" si="7"/>
        <v/>
      </c>
      <c r="K63" s="12" t="str">
        <f t="shared" si="8"/>
        <v/>
      </c>
      <c r="L63" s="12" t="str">
        <f t="shared" si="9"/>
        <v/>
      </c>
      <c r="M63" s="12" t="str">
        <f t="shared" si="5"/>
        <v/>
      </c>
    </row>
    <row r="64" ht="15.75" customHeight="1">
      <c r="C64" s="12"/>
      <c r="I64" s="12" t="str">
        <f t="shared" si="6"/>
        <v/>
      </c>
      <c r="J64" s="12" t="str">
        <f t="shared" si="7"/>
        <v/>
      </c>
      <c r="K64" s="12" t="str">
        <f t="shared" si="8"/>
        <v/>
      </c>
      <c r="L64" s="12" t="str">
        <f t="shared" si="9"/>
        <v/>
      </c>
      <c r="M64" s="12" t="str">
        <f t="shared" si="5"/>
        <v/>
      </c>
    </row>
    <row r="65" ht="15.75" customHeight="1">
      <c r="C65" s="12"/>
      <c r="I65" s="12" t="str">
        <f t="shared" si="6"/>
        <v/>
      </c>
      <c r="J65" s="12" t="str">
        <f t="shared" si="7"/>
        <v/>
      </c>
      <c r="K65" s="12" t="str">
        <f t="shared" si="8"/>
        <v/>
      </c>
      <c r="L65" s="12" t="str">
        <f t="shared" si="9"/>
        <v/>
      </c>
      <c r="M65" s="12" t="str">
        <f t="shared" si="5"/>
        <v/>
      </c>
    </row>
    <row r="66" ht="15.75" customHeight="1">
      <c r="C66" s="12"/>
      <c r="I66" s="12" t="str">
        <f t="shared" si="6"/>
        <v/>
      </c>
      <c r="J66" s="12" t="str">
        <f t="shared" si="7"/>
        <v/>
      </c>
      <c r="K66" s="12" t="str">
        <f t="shared" si="8"/>
        <v/>
      </c>
      <c r="L66" s="12" t="str">
        <f t="shared" si="9"/>
        <v/>
      </c>
      <c r="M66" s="12" t="str">
        <f t="shared" si="5"/>
        <v/>
      </c>
    </row>
    <row r="67" ht="15.75" customHeight="1">
      <c r="C67" s="12"/>
      <c r="I67" s="12" t="str">
        <f t="shared" si="6"/>
        <v/>
      </c>
      <c r="J67" s="12" t="str">
        <f t="shared" si="7"/>
        <v/>
      </c>
      <c r="K67" s="12" t="str">
        <f t="shared" si="8"/>
        <v/>
      </c>
      <c r="L67" s="12" t="str">
        <f t="shared" si="9"/>
        <v/>
      </c>
      <c r="M67" s="12" t="str">
        <f t="shared" si="5"/>
        <v/>
      </c>
    </row>
    <row r="68" ht="15.75" customHeight="1">
      <c r="C68" s="12"/>
      <c r="I68" s="12" t="str">
        <f t="shared" si="6"/>
        <v/>
      </c>
      <c r="J68" s="12" t="str">
        <f t="shared" si="7"/>
        <v/>
      </c>
      <c r="K68" s="12" t="str">
        <f t="shared" si="8"/>
        <v/>
      </c>
      <c r="L68" s="12" t="str">
        <f t="shared" si="9"/>
        <v/>
      </c>
      <c r="M68" s="12" t="str">
        <f t="shared" si="5"/>
        <v/>
      </c>
    </row>
    <row r="69" ht="15.75" customHeight="1">
      <c r="C69" s="12"/>
      <c r="I69" s="12" t="str">
        <f t="shared" si="6"/>
        <v/>
      </c>
      <c r="J69" s="12" t="str">
        <f t="shared" si="7"/>
        <v/>
      </c>
      <c r="K69" s="12" t="str">
        <f t="shared" si="8"/>
        <v/>
      </c>
      <c r="L69" s="12" t="str">
        <f t="shared" si="9"/>
        <v/>
      </c>
      <c r="M69" s="12" t="str">
        <f t="shared" si="5"/>
        <v/>
      </c>
    </row>
    <row r="70" ht="15.75" customHeight="1">
      <c r="C70" s="12"/>
      <c r="I70" s="12" t="str">
        <f t="shared" si="6"/>
        <v/>
      </c>
      <c r="J70" s="12" t="str">
        <f t="shared" si="7"/>
        <v/>
      </c>
      <c r="K70" s="12" t="str">
        <f t="shared" si="8"/>
        <v/>
      </c>
      <c r="L70" s="12" t="str">
        <f t="shared" si="9"/>
        <v/>
      </c>
      <c r="M70" s="12" t="str">
        <f t="shared" si="5"/>
        <v/>
      </c>
    </row>
    <row r="71" ht="15.75" customHeight="1">
      <c r="C71" s="12"/>
      <c r="I71" s="12" t="str">
        <f t="shared" si="6"/>
        <v/>
      </c>
      <c r="J71" s="12" t="str">
        <f t="shared" si="7"/>
        <v/>
      </c>
      <c r="K71" s="12" t="str">
        <f t="shared" si="8"/>
        <v/>
      </c>
      <c r="L71" s="12" t="str">
        <f t="shared" si="9"/>
        <v/>
      </c>
      <c r="M71" s="12" t="str">
        <f t="shared" si="5"/>
        <v/>
      </c>
    </row>
    <row r="72" ht="15.75" customHeight="1">
      <c r="C72" s="12"/>
      <c r="I72" s="12" t="str">
        <f t="shared" si="6"/>
        <v/>
      </c>
      <c r="J72" s="12" t="str">
        <f t="shared" si="7"/>
        <v/>
      </c>
      <c r="K72" s="12" t="str">
        <f t="shared" si="8"/>
        <v/>
      </c>
      <c r="L72" s="12" t="str">
        <f t="shared" si="9"/>
        <v/>
      </c>
      <c r="M72" s="12" t="str">
        <f t="shared" si="5"/>
        <v/>
      </c>
    </row>
    <row r="73" ht="15.75" customHeight="1">
      <c r="C73" s="12"/>
      <c r="I73" s="12" t="str">
        <f t="shared" si="6"/>
        <v/>
      </c>
      <c r="J73" s="12" t="str">
        <f t="shared" si="7"/>
        <v/>
      </c>
      <c r="K73" s="12" t="str">
        <f t="shared" si="8"/>
        <v/>
      </c>
      <c r="L73" s="12" t="str">
        <f t="shared" si="9"/>
        <v/>
      </c>
      <c r="M73" s="12" t="str">
        <f t="shared" si="5"/>
        <v/>
      </c>
    </row>
    <row r="74" ht="15.75" customHeight="1">
      <c r="C74" s="12"/>
      <c r="I74" s="12" t="str">
        <f t="shared" si="6"/>
        <v/>
      </c>
      <c r="J74" s="12" t="str">
        <f t="shared" si="7"/>
        <v/>
      </c>
      <c r="K74" s="12" t="str">
        <f t="shared" si="8"/>
        <v/>
      </c>
      <c r="L74" s="12" t="str">
        <f t="shared" si="9"/>
        <v/>
      </c>
      <c r="M74" s="12" t="str">
        <f t="shared" si="5"/>
        <v/>
      </c>
    </row>
    <row r="75" ht="15.75" customHeight="1">
      <c r="C75" s="12"/>
      <c r="I75" s="12" t="str">
        <f t="shared" si="6"/>
        <v/>
      </c>
      <c r="J75" s="12" t="str">
        <f t="shared" si="7"/>
        <v/>
      </c>
      <c r="K75" s="12" t="str">
        <f t="shared" si="8"/>
        <v/>
      </c>
      <c r="L75" s="12" t="str">
        <f t="shared" si="9"/>
        <v/>
      </c>
      <c r="M75" s="12" t="str">
        <f t="shared" si="5"/>
        <v/>
      </c>
    </row>
    <row r="76" ht="15.75" customHeight="1">
      <c r="C76" s="12"/>
      <c r="I76" s="12" t="str">
        <f t="shared" si="6"/>
        <v/>
      </c>
      <c r="J76" s="12" t="str">
        <f t="shared" si="7"/>
        <v/>
      </c>
      <c r="K76" s="12" t="str">
        <f t="shared" si="8"/>
        <v/>
      </c>
      <c r="L76" s="12" t="str">
        <f t="shared" si="9"/>
        <v/>
      </c>
      <c r="M76" s="12" t="str">
        <f t="shared" si="5"/>
        <v/>
      </c>
    </row>
    <row r="77" ht="15.75" customHeight="1">
      <c r="C77" s="12"/>
      <c r="I77" s="12" t="str">
        <f t="shared" si="6"/>
        <v/>
      </c>
      <c r="J77" s="12" t="str">
        <f t="shared" si="7"/>
        <v/>
      </c>
      <c r="K77" s="12" t="str">
        <f t="shared" si="8"/>
        <v/>
      </c>
      <c r="L77" s="12" t="str">
        <f t="shared" si="9"/>
        <v/>
      </c>
      <c r="M77" s="12" t="str">
        <f t="shared" si="5"/>
        <v/>
      </c>
    </row>
    <row r="78" ht="15.75" customHeight="1">
      <c r="C78" s="12"/>
      <c r="I78" s="12" t="str">
        <f t="shared" si="6"/>
        <v/>
      </c>
      <c r="J78" s="12" t="str">
        <f t="shared" si="7"/>
        <v/>
      </c>
      <c r="K78" s="12" t="str">
        <f t="shared" si="8"/>
        <v/>
      </c>
      <c r="L78" s="12" t="str">
        <f t="shared" si="9"/>
        <v/>
      </c>
      <c r="M78" s="12" t="str">
        <f t="shared" si="5"/>
        <v/>
      </c>
    </row>
    <row r="79" ht="15.75" customHeight="1">
      <c r="C79" s="12"/>
      <c r="I79" s="12" t="str">
        <f t="shared" si="6"/>
        <v/>
      </c>
      <c r="J79" s="12" t="str">
        <f t="shared" si="7"/>
        <v/>
      </c>
      <c r="K79" s="12" t="str">
        <f t="shared" si="8"/>
        <v/>
      </c>
      <c r="L79" s="12" t="str">
        <f t="shared" si="9"/>
        <v/>
      </c>
      <c r="M79" s="12" t="str">
        <f t="shared" si="5"/>
        <v/>
      </c>
    </row>
    <row r="80" ht="15.75" customHeight="1">
      <c r="C80" s="12"/>
      <c r="I80" s="12" t="str">
        <f t="shared" si="6"/>
        <v/>
      </c>
      <c r="J80" s="12" t="str">
        <f t="shared" si="7"/>
        <v/>
      </c>
      <c r="K80" s="12" t="str">
        <f t="shared" si="8"/>
        <v/>
      </c>
      <c r="L80" s="12" t="str">
        <f t="shared" si="9"/>
        <v/>
      </c>
      <c r="M80" s="12" t="str">
        <f t="shared" si="5"/>
        <v/>
      </c>
    </row>
    <row r="81" ht="15.75" customHeight="1">
      <c r="C81" s="12"/>
      <c r="I81" s="12" t="str">
        <f t="shared" si="6"/>
        <v/>
      </c>
      <c r="J81" s="12" t="str">
        <f t="shared" si="7"/>
        <v/>
      </c>
      <c r="K81" s="12" t="str">
        <f t="shared" si="8"/>
        <v/>
      </c>
      <c r="L81" s="12" t="str">
        <f t="shared" si="9"/>
        <v/>
      </c>
      <c r="M81" s="12" t="str">
        <f t="shared" si="5"/>
        <v/>
      </c>
    </row>
    <row r="82" ht="15.75" customHeight="1">
      <c r="C82" s="12"/>
      <c r="I82" s="12" t="str">
        <f t="shared" si="6"/>
        <v/>
      </c>
      <c r="J82" s="12" t="str">
        <f t="shared" si="7"/>
        <v/>
      </c>
      <c r="K82" s="12" t="str">
        <f t="shared" si="8"/>
        <v/>
      </c>
      <c r="L82" s="12" t="str">
        <f t="shared" si="9"/>
        <v/>
      </c>
      <c r="M82" s="12" t="str">
        <f t="shared" si="5"/>
        <v/>
      </c>
    </row>
    <row r="83" ht="15.75" customHeight="1">
      <c r="C83" s="12"/>
      <c r="I83" s="12" t="str">
        <f t="shared" si="6"/>
        <v/>
      </c>
      <c r="J83" s="12" t="str">
        <f t="shared" si="7"/>
        <v/>
      </c>
      <c r="K83" s="12" t="str">
        <f t="shared" si="8"/>
        <v/>
      </c>
      <c r="L83" s="12" t="str">
        <f t="shared" si="9"/>
        <v/>
      </c>
      <c r="M83" s="12" t="str">
        <f t="shared" si="5"/>
        <v/>
      </c>
    </row>
    <row r="84" ht="15.75" customHeight="1">
      <c r="C84" s="12"/>
      <c r="I84" s="12" t="str">
        <f t="shared" si="6"/>
        <v/>
      </c>
      <c r="J84" s="12" t="str">
        <f t="shared" si="7"/>
        <v/>
      </c>
      <c r="K84" s="12" t="str">
        <f t="shared" si="8"/>
        <v/>
      </c>
      <c r="L84" s="12" t="str">
        <f t="shared" si="9"/>
        <v/>
      </c>
      <c r="M84" s="12" t="str">
        <f t="shared" si="5"/>
        <v/>
      </c>
    </row>
    <row r="85" ht="15.75" customHeight="1">
      <c r="C85" s="12"/>
      <c r="I85" s="12" t="str">
        <f t="shared" si="6"/>
        <v/>
      </c>
      <c r="J85" s="12" t="str">
        <f t="shared" si="7"/>
        <v/>
      </c>
      <c r="K85" s="12" t="str">
        <f t="shared" si="8"/>
        <v/>
      </c>
      <c r="L85" s="12" t="str">
        <f t="shared" si="9"/>
        <v/>
      </c>
      <c r="M85" s="12" t="str">
        <f t="shared" si="5"/>
        <v/>
      </c>
    </row>
    <row r="86" ht="15.75" customHeight="1">
      <c r="C86" s="12"/>
      <c r="I86" s="12" t="str">
        <f t="shared" si="6"/>
        <v/>
      </c>
      <c r="J86" s="12" t="str">
        <f t="shared" si="7"/>
        <v/>
      </c>
      <c r="K86" s="12" t="str">
        <f t="shared" si="8"/>
        <v/>
      </c>
      <c r="L86" s="12" t="str">
        <f t="shared" si="9"/>
        <v/>
      </c>
      <c r="M86" s="12" t="str">
        <f t="shared" si="5"/>
        <v/>
      </c>
    </row>
    <row r="87" ht="15.75" customHeight="1">
      <c r="C87" s="12"/>
      <c r="I87" s="12" t="str">
        <f t="shared" si="6"/>
        <v/>
      </c>
      <c r="J87" s="12" t="str">
        <f t="shared" si="7"/>
        <v/>
      </c>
      <c r="K87" s="12" t="str">
        <f t="shared" si="8"/>
        <v/>
      </c>
      <c r="L87" s="12" t="str">
        <f t="shared" si="9"/>
        <v/>
      </c>
      <c r="M87" s="12" t="str">
        <f t="shared" si="5"/>
        <v/>
      </c>
    </row>
    <row r="88" ht="15.75" customHeight="1">
      <c r="C88" s="12"/>
      <c r="I88" s="12" t="str">
        <f t="shared" si="6"/>
        <v/>
      </c>
      <c r="J88" s="12" t="str">
        <f t="shared" si="7"/>
        <v/>
      </c>
      <c r="K88" s="12" t="str">
        <f t="shared" si="8"/>
        <v/>
      </c>
      <c r="L88" s="12" t="str">
        <f t="shared" si="9"/>
        <v/>
      </c>
      <c r="M88" s="12" t="str">
        <f t="shared" si="5"/>
        <v/>
      </c>
    </row>
    <row r="89" ht="15.75" customHeight="1">
      <c r="C89" s="12"/>
      <c r="I89" s="12" t="str">
        <f t="shared" si="6"/>
        <v/>
      </c>
      <c r="J89" s="12" t="str">
        <f t="shared" si="7"/>
        <v/>
      </c>
      <c r="K89" s="12" t="str">
        <f t="shared" si="8"/>
        <v/>
      </c>
      <c r="L89" s="12" t="str">
        <f t="shared" si="9"/>
        <v/>
      </c>
      <c r="M89" s="12" t="str">
        <f t="shared" si="5"/>
        <v/>
      </c>
    </row>
    <row r="90" ht="15.75" customHeight="1">
      <c r="C90" s="12"/>
      <c r="I90" s="12" t="str">
        <f t="shared" si="6"/>
        <v/>
      </c>
      <c r="J90" s="12" t="str">
        <f t="shared" si="7"/>
        <v/>
      </c>
      <c r="K90" s="12" t="str">
        <f t="shared" si="8"/>
        <v/>
      </c>
      <c r="L90" s="12" t="str">
        <f t="shared" si="9"/>
        <v/>
      </c>
      <c r="M90" s="12" t="str">
        <f t="shared" si="5"/>
        <v/>
      </c>
    </row>
    <row r="91" ht="15.75" customHeight="1">
      <c r="C91" s="12"/>
      <c r="I91" s="12" t="str">
        <f t="shared" si="6"/>
        <v/>
      </c>
      <c r="J91" s="12" t="str">
        <f t="shared" si="7"/>
        <v/>
      </c>
      <c r="K91" s="12" t="str">
        <f t="shared" si="8"/>
        <v/>
      </c>
      <c r="L91" s="12" t="str">
        <f t="shared" si="9"/>
        <v/>
      </c>
      <c r="M91" s="12" t="str">
        <f t="shared" si="5"/>
        <v/>
      </c>
    </row>
    <row r="92" ht="15.75" customHeight="1">
      <c r="C92" s="12"/>
      <c r="I92" s="12" t="str">
        <f t="shared" si="6"/>
        <v/>
      </c>
      <c r="J92" s="12" t="str">
        <f t="shared" si="7"/>
        <v/>
      </c>
      <c r="K92" s="12" t="str">
        <f t="shared" si="8"/>
        <v/>
      </c>
      <c r="L92" s="12" t="str">
        <f t="shared" si="9"/>
        <v/>
      </c>
      <c r="M92" s="12" t="str">
        <f t="shared" si="5"/>
        <v/>
      </c>
    </row>
    <row r="93" ht="15.75" customHeight="1">
      <c r="C93" s="12"/>
      <c r="I93" s="12" t="str">
        <f t="shared" si="6"/>
        <v/>
      </c>
      <c r="J93" s="12" t="str">
        <f t="shared" si="7"/>
        <v/>
      </c>
      <c r="K93" s="12" t="str">
        <f t="shared" si="8"/>
        <v/>
      </c>
      <c r="L93" s="12" t="str">
        <f t="shared" si="9"/>
        <v/>
      </c>
      <c r="M93" s="12" t="str">
        <f t="shared" si="5"/>
        <v/>
      </c>
    </row>
    <row r="94" ht="15.75" customHeight="1">
      <c r="C94" s="12"/>
      <c r="I94" s="12" t="str">
        <f t="shared" si="6"/>
        <v/>
      </c>
      <c r="J94" s="12" t="str">
        <f t="shared" si="7"/>
        <v/>
      </c>
      <c r="K94" s="12" t="str">
        <f t="shared" si="8"/>
        <v/>
      </c>
      <c r="L94" s="12" t="str">
        <f t="shared" si="9"/>
        <v/>
      </c>
      <c r="M94" s="12" t="str">
        <f t="shared" si="5"/>
        <v/>
      </c>
    </row>
    <row r="95" ht="15.75" customHeight="1">
      <c r="C95" s="12"/>
      <c r="I95" s="12" t="str">
        <f t="shared" si="6"/>
        <v/>
      </c>
      <c r="J95" s="12" t="str">
        <f t="shared" si="7"/>
        <v/>
      </c>
      <c r="K95" s="12" t="str">
        <f t="shared" si="8"/>
        <v/>
      </c>
      <c r="L95" s="12" t="str">
        <f t="shared" si="9"/>
        <v/>
      </c>
      <c r="M95" s="12" t="str">
        <f t="shared" si="5"/>
        <v/>
      </c>
    </row>
    <row r="96" ht="15.75" customHeight="1">
      <c r="C96" s="12"/>
      <c r="I96" s="12" t="str">
        <f t="shared" si="6"/>
        <v/>
      </c>
      <c r="J96" s="12" t="str">
        <f t="shared" si="7"/>
        <v/>
      </c>
      <c r="K96" s="12" t="str">
        <f t="shared" si="8"/>
        <v/>
      </c>
      <c r="L96" s="12" t="str">
        <f t="shared" si="9"/>
        <v/>
      </c>
      <c r="M96" s="12" t="str">
        <f t="shared" si="5"/>
        <v/>
      </c>
    </row>
    <row r="97" ht="15.75" customHeight="1">
      <c r="C97" s="12"/>
      <c r="I97" s="12" t="str">
        <f t="shared" si="6"/>
        <v/>
      </c>
      <c r="J97" s="12" t="str">
        <f t="shared" si="7"/>
        <v/>
      </c>
      <c r="K97" s="12" t="str">
        <f t="shared" si="8"/>
        <v/>
      </c>
      <c r="L97" s="12" t="str">
        <f t="shared" si="9"/>
        <v/>
      </c>
      <c r="M97" s="12" t="str">
        <f t="shared" si="5"/>
        <v/>
      </c>
    </row>
    <row r="98" ht="15.75" customHeight="1">
      <c r="C98" s="12"/>
      <c r="I98" s="12" t="str">
        <f t="shared" si="6"/>
        <v/>
      </c>
      <c r="J98" s="12" t="str">
        <f t="shared" si="7"/>
        <v/>
      </c>
      <c r="K98" s="12" t="str">
        <f t="shared" si="8"/>
        <v/>
      </c>
      <c r="L98" s="12" t="str">
        <f t="shared" si="9"/>
        <v/>
      </c>
      <c r="M98" s="12" t="str">
        <f t="shared" si="5"/>
        <v/>
      </c>
    </row>
    <row r="99" ht="15.75" customHeight="1">
      <c r="C99" s="12"/>
      <c r="I99" s="12" t="str">
        <f t="shared" si="6"/>
        <v/>
      </c>
      <c r="J99" s="12" t="str">
        <f t="shared" si="7"/>
        <v/>
      </c>
      <c r="K99" s="12" t="str">
        <f t="shared" si="8"/>
        <v/>
      </c>
      <c r="L99" s="12" t="str">
        <f t="shared" si="9"/>
        <v/>
      </c>
      <c r="M99" s="12" t="str">
        <f t="shared" si="5"/>
        <v/>
      </c>
    </row>
    <row r="100" ht="15.75" customHeight="1">
      <c r="C100" s="12"/>
      <c r="I100" s="12" t="str">
        <f t="shared" si="6"/>
        <v/>
      </c>
      <c r="J100" s="12" t="str">
        <f t="shared" si="7"/>
        <v/>
      </c>
      <c r="K100" s="12" t="str">
        <f t="shared" si="8"/>
        <v/>
      </c>
      <c r="L100" s="12" t="str">
        <f t="shared" si="9"/>
        <v/>
      </c>
      <c r="M100" s="12" t="str">
        <f t="shared" si="5"/>
        <v/>
      </c>
    </row>
    <row r="101" ht="15.75" customHeight="1">
      <c r="C101" s="12"/>
      <c r="I101" s="12" t="str">
        <f t="shared" si="6"/>
        <v/>
      </c>
      <c r="J101" s="12" t="str">
        <f t="shared" si="7"/>
        <v/>
      </c>
      <c r="K101" s="12" t="str">
        <f t="shared" si="8"/>
        <v/>
      </c>
      <c r="L101" s="12" t="str">
        <f t="shared" si="9"/>
        <v/>
      </c>
      <c r="M101" s="12" t="str">
        <f t="shared" si="5"/>
        <v/>
      </c>
    </row>
    <row r="102" ht="15.75" customHeight="1">
      <c r="C102" s="12"/>
      <c r="I102" s="12" t="str">
        <f t="shared" si="6"/>
        <v/>
      </c>
      <c r="J102" s="12" t="str">
        <f t="shared" si="7"/>
        <v/>
      </c>
      <c r="K102" s="12" t="str">
        <f t="shared" si="8"/>
        <v/>
      </c>
      <c r="L102" s="12" t="str">
        <f t="shared" si="9"/>
        <v/>
      </c>
      <c r="M102" s="12" t="str">
        <f t="shared" si="5"/>
        <v/>
      </c>
    </row>
    <row r="103" ht="15.75" customHeight="1">
      <c r="C103" s="12"/>
      <c r="I103" s="12" t="str">
        <f t="shared" si="6"/>
        <v/>
      </c>
      <c r="J103" s="12" t="str">
        <f t="shared" si="7"/>
        <v/>
      </c>
      <c r="K103" s="12" t="str">
        <f t="shared" si="8"/>
        <v/>
      </c>
      <c r="L103" s="12" t="str">
        <f t="shared" si="9"/>
        <v/>
      </c>
      <c r="M103" s="12" t="str">
        <f t="shared" si="5"/>
        <v/>
      </c>
    </row>
    <row r="104" ht="15.75" customHeight="1">
      <c r="C104" s="12"/>
      <c r="I104" s="12" t="str">
        <f t="shared" si="6"/>
        <v/>
      </c>
      <c r="J104" s="12" t="str">
        <f t="shared" si="7"/>
        <v/>
      </c>
      <c r="K104" s="12" t="str">
        <f t="shared" si="8"/>
        <v/>
      </c>
      <c r="L104" s="12" t="str">
        <f t="shared" si="9"/>
        <v/>
      </c>
      <c r="M104" s="12" t="str">
        <f t="shared" si="5"/>
        <v/>
      </c>
    </row>
    <row r="105" ht="15.75" customHeight="1">
      <c r="C105" s="12"/>
      <c r="I105" s="12" t="str">
        <f t="shared" si="6"/>
        <v/>
      </c>
      <c r="J105" s="12" t="str">
        <f t="shared" si="7"/>
        <v/>
      </c>
      <c r="K105" s="12" t="str">
        <f t="shared" si="8"/>
        <v/>
      </c>
      <c r="L105" s="12" t="str">
        <f t="shared" si="9"/>
        <v/>
      </c>
      <c r="M105" s="12" t="str">
        <f t="shared" si="5"/>
        <v/>
      </c>
    </row>
    <row r="106" ht="15.75" customHeight="1">
      <c r="C106" s="12"/>
      <c r="I106" s="12" t="str">
        <f t="shared" si="6"/>
        <v/>
      </c>
      <c r="J106" s="12" t="str">
        <f t="shared" si="7"/>
        <v/>
      </c>
      <c r="K106" s="12" t="str">
        <f t="shared" si="8"/>
        <v/>
      </c>
      <c r="L106" s="12" t="str">
        <f t="shared" si="9"/>
        <v/>
      </c>
      <c r="M106" s="12" t="str">
        <f t="shared" si="5"/>
        <v/>
      </c>
    </row>
    <row r="107" ht="15.75" customHeight="1">
      <c r="C107" s="12"/>
      <c r="I107" s="12" t="str">
        <f t="shared" si="6"/>
        <v/>
      </c>
      <c r="J107" s="12" t="str">
        <f t="shared" si="7"/>
        <v/>
      </c>
      <c r="K107" s="12" t="str">
        <f t="shared" si="8"/>
        <v/>
      </c>
      <c r="L107" s="12" t="str">
        <f t="shared" si="9"/>
        <v/>
      </c>
      <c r="M107" s="12" t="str">
        <f t="shared" si="5"/>
        <v/>
      </c>
    </row>
    <row r="108" ht="15.75" customHeight="1">
      <c r="C108" s="12"/>
      <c r="I108" s="12" t="str">
        <f t="shared" si="6"/>
        <v/>
      </c>
      <c r="J108" s="12" t="str">
        <f t="shared" si="7"/>
        <v/>
      </c>
      <c r="K108" s="12" t="str">
        <f t="shared" si="8"/>
        <v/>
      </c>
      <c r="L108" s="12" t="str">
        <f t="shared" si="9"/>
        <v/>
      </c>
      <c r="M108" s="12" t="str">
        <f t="shared" si="5"/>
        <v/>
      </c>
    </row>
    <row r="109" ht="15.75" customHeight="1">
      <c r="C109" s="12"/>
      <c r="I109" s="12" t="str">
        <f t="shared" si="6"/>
        <v/>
      </c>
      <c r="J109" s="12" t="str">
        <f t="shared" si="7"/>
        <v/>
      </c>
      <c r="K109" s="12" t="str">
        <f t="shared" si="8"/>
        <v/>
      </c>
      <c r="L109" s="12" t="str">
        <f t="shared" si="9"/>
        <v/>
      </c>
      <c r="M109" s="12" t="str">
        <f t="shared" si="5"/>
        <v/>
      </c>
    </row>
    <row r="110" ht="15.75" customHeight="1">
      <c r="C110" s="12"/>
      <c r="I110" s="12" t="str">
        <f t="shared" si="6"/>
        <v/>
      </c>
      <c r="J110" s="12" t="str">
        <f t="shared" si="7"/>
        <v/>
      </c>
      <c r="K110" s="12" t="str">
        <f t="shared" si="8"/>
        <v/>
      </c>
      <c r="L110" s="12" t="str">
        <f t="shared" si="9"/>
        <v/>
      </c>
      <c r="M110" s="12" t="str">
        <f t="shared" si="5"/>
        <v/>
      </c>
    </row>
    <row r="111" ht="15.75" customHeight="1">
      <c r="C111" s="12"/>
      <c r="I111" s="12" t="str">
        <f t="shared" si="6"/>
        <v/>
      </c>
      <c r="J111" s="12" t="str">
        <f t="shared" si="7"/>
        <v/>
      </c>
      <c r="K111" s="12" t="str">
        <f t="shared" si="8"/>
        <v/>
      </c>
      <c r="L111" s="12" t="str">
        <f t="shared" si="9"/>
        <v/>
      </c>
      <c r="M111" s="12" t="str">
        <f t="shared" si="5"/>
        <v/>
      </c>
    </row>
    <row r="112" ht="15.75" customHeight="1">
      <c r="C112" s="12"/>
      <c r="I112" s="12" t="str">
        <f t="shared" si="6"/>
        <v/>
      </c>
      <c r="J112" s="12" t="str">
        <f t="shared" si="7"/>
        <v/>
      </c>
      <c r="K112" s="12" t="str">
        <f t="shared" si="8"/>
        <v/>
      </c>
      <c r="L112" s="12" t="str">
        <f t="shared" si="9"/>
        <v/>
      </c>
      <c r="M112" s="12" t="str">
        <f t="shared" si="5"/>
        <v/>
      </c>
    </row>
    <row r="113" ht="15.75" customHeight="1">
      <c r="C113" s="12"/>
      <c r="I113" s="12" t="str">
        <f t="shared" si="6"/>
        <v/>
      </c>
      <c r="J113" s="12" t="str">
        <f t="shared" si="7"/>
        <v/>
      </c>
      <c r="K113" s="12" t="str">
        <f t="shared" si="8"/>
        <v/>
      </c>
      <c r="L113" s="12" t="str">
        <f t="shared" si="9"/>
        <v/>
      </c>
      <c r="M113" s="12" t="str">
        <f t="shared" si="5"/>
        <v/>
      </c>
    </row>
    <row r="114" ht="15.75" customHeight="1">
      <c r="C114" s="12"/>
      <c r="I114" s="12" t="str">
        <f t="shared" si="6"/>
        <v/>
      </c>
      <c r="J114" s="12" t="str">
        <f t="shared" si="7"/>
        <v/>
      </c>
      <c r="K114" s="12" t="str">
        <f t="shared" si="8"/>
        <v/>
      </c>
      <c r="L114" s="12" t="str">
        <f t="shared" si="9"/>
        <v/>
      </c>
      <c r="M114" s="12" t="str">
        <f t="shared" si="5"/>
        <v/>
      </c>
    </row>
    <row r="115" ht="15.75" customHeight="1">
      <c r="C115" s="12"/>
      <c r="I115" s="12" t="str">
        <f t="shared" si="6"/>
        <v/>
      </c>
      <c r="J115" s="12" t="str">
        <f t="shared" si="7"/>
        <v/>
      </c>
      <c r="K115" s="12" t="str">
        <f t="shared" si="8"/>
        <v/>
      </c>
      <c r="L115" s="12" t="str">
        <f t="shared" si="9"/>
        <v/>
      </c>
      <c r="M115" s="12" t="str">
        <f t="shared" si="5"/>
        <v/>
      </c>
    </row>
    <row r="116" ht="15.75" customHeight="1">
      <c r="C116" s="12"/>
      <c r="I116" s="12" t="str">
        <f t="shared" si="6"/>
        <v/>
      </c>
      <c r="J116" s="12" t="str">
        <f t="shared" si="7"/>
        <v/>
      </c>
      <c r="K116" s="12" t="str">
        <f t="shared" si="8"/>
        <v/>
      </c>
      <c r="L116" s="12" t="str">
        <f t="shared" si="9"/>
        <v/>
      </c>
      <c r="M116" s="12" t="str">
        <f t="shared" si="5"/>
        <v/>
      </c>
    </row>
    <row r="117" ht="15.75" customHeight="1">
      <c r="C117" s="12"/>
      <c r="I117" s="12" t="str">
        <f t="shared" si="6"/>
        <v/>
      </c>
      <c r="J117" s="12" t="str">
        <f t="shared" si="7"/>
        <v/>
      </c>
      <c r="K117" s="12" t="str">
        <f t="shared" si="8"/>
        <v/>
      </c>
      <c r="L117" s="12" t="str">
        <f t="shared" si="9"/>
        <v/>
      </c>
      <c r="M117" s="12" t="str">
        <f t="shared" si="5"/>
        <v/>
      </c>
    </row>
    <row r="118" ht="15.75" customHeight="1">
      <c r="C118" s="12"/>
      <c r="I118" s="12" t="str">
        <f t="shared" si="6"/>
        <v/>
      </c>
      <c r="J118" s="12" t="str">
        <f t="shared" si="7"/>
        <v/>
      </c>
      <c r="K118" s="12" t="str">
        <f t="shared" si="8"/>
        <v/>
      </c>
      <c r="L118" s="12" t="str">
        <f t="shared" si="9"/>
        <v/>
      </c>
      <c r="M118" s="12" t="str">
        <f t="shared" si="5"/>
        <v/>
      </c>
    </row>
    <row r="119" ht="15.75" customHeight="1">
      <c r="C119" s="12"/>
      <c r="I119" s="12" t="str">
        <f t="shared" si="6"/>
        <v/>
      </c>
      <c r="J119" s="12" t="str">
        <f t="shared" si="7"/>
        <v/>
      </c>
      <c r="K119" s="12" t="str">
        <f t="shared" si="8"/>
        <v/>
      </c>
      <c r="L119" s="12" t="str">
        <f t="shared" si="9"/>
        <v/>
      </c>
      <c r="M119" s="12" t="str">
        <f t="shared" si="5"/>
        <v/>
      </c>
    </row>
    <row r="120" ht="15.75" customHeight="1">
      <c r="C120" s="12"/>
      <c r="I120" s="12" t="str">
        <f t="shared" si="6"/>
        <v/>
      </c>
      <c r="J120" s="12" t="str">
        <f t="shared" si="7"/>
        <v/>
      </c>
      <c r="K120" s="12" t="str">
        <f t="shared" si="8"/>
        <v/>
      </c>
      <c r="L120" s="12" t="str">
        <f t="shared" si="9"/>
        <v/>
      </c>
      <c r="M120" s="12" t="str">
        <f t="shared" si="5"/>
        <v/>
      </c>
    </row>
    <row r="121" ht="15.75" customHeight="1">
      <c r="C121" s="12"/>
      <c r="I121" s="12" t="str">
        <f t="shared" si="6"/>
        <v/>
      </c>
      <c r="J121" s="12" t="str">
        <f t="shared" si="7"/>
        <v/>
      </c>
      <c r="K121" s="12" t="str">
        <f t="shared" si="8"/>
        <v/>
      </c>
      <c r="L121" s="12" t="str">
        <f t="shared" si="9"/>
        <v/>
      </c>
      <c r="M121" s="12" t="str">
        <f t="shared" si="5"/>
        <v/>
      </c>
    </row>
    <row r="122" ht="15.75" customHeight="1">
      <c r="C122" s="12"/>
      <c r="I122" s="12" t="str">
        <f t="shared" si="6"/>
        <v/>
      </c>
      <c r="J122" s="12" t="str">
        <f t="shared" si="7"/>
        <v/>
      </c>
      <c r="K122" s="12" t="str">
        <f t="shared" si="8"/>
        <v/>
      </c>
      <c r="L122" s="12" t="str">
        <f t="shared" si="9"/>
        <v/>
      </c>
      <c r="M122" s="12" t="str">
        <f t="shared" si="5"/>
        <v/>
      </c>
    </row>
    <row r="123" ht="15.75" customHeight="1">
      <c r="C123" s="12"/>
      <c r="I123" s="12" t="str">
        <f t="shared" si="6"/>
        <v/>
      </c>
      <c r="J123" s="12" t="str">
        <f t="shared" si="7"/>
        <v/>
      </c>
      <c r="K123" s="12" t="str">
        <f t="shared" si="8"/>
        <v/>
      </c>
      <c r="L123" s="12" t="str">
        <f t="shared" si="9"/>
        <v/>
      </c>
      <c r="M123" s="12" t="str">
        <f t="shared" si="5"/>
        <v/>
      </c>
    </row>
    <row r="124" ht="15.75" customHeight="1">
      <c r="C124" s="12"/>
      <c r="I124" s="12" t="str">
        <f t="shared" si="6"/>
        <v/>
      </c>
      <c r="J124" s="12" t="str">
        <f t="shared" si="7"/>
        <v/>
      </c>
      <c r="K124" s="12" t="str">
        <f t="shared" si="8"/>
        <v/>
      </c>
      <c r="L124" s="12" t="str">
        <f t="shared" si="9"/>
        <v/>
      </c>
      <c r="M124" s="12" t="str">
        <f t="shared" si="5"/>
        <v/>
      </c>
    </row>
    <row r="125" ht="15.75" customHeight="1">
      <c r="C125" s="12"/>
      <c r="I125" s="12" t="str">
        <f t="shared" si="6"/>
        <v/>
      </c>
      <c r="J125" s="12" t="str">
        <f t="shared" si="7"/>
        <v/>
      </c>
      <c r="K125" s="12" t="str">
        <f t="shared" si="8"/>
        <v/>
      </c>
      <c r="L125" s="12" t="str">
        <f t="shared" si="9"/>
        <v/>
      </c>
      <c r="M125" s="12" t="str">
        <f t="shared" si="5"/>
        <v/>
      </c>
    </row>
    <row r="126" ht="15.75" customHeight="1">
      <c r="C126" s="12"/>
      <c r="I126" s="12" t="str">
        <f t="shared" si="6"/>
        <v/>
      </c>
      <c r="J126" s="12" t="str">
        <f t="shared" si="7"/>
        <v/>
      </c>
      <c r="K126" s="12" t="str">
        <f t="shared" si="8"/>
        <v/>
      </c>
      <c r="L126" s="12" t="str">
        <f t="shared" si="9"/>
        <v/>
      </c>
      <c r="M126" s="12" t="str">
        <f t="shared" si="5"/>
        <v/>
      </c>
    </row>
    <row r="127" ht="15.75" customHeight="1">
      <c r="C127" s="12"/>
      <c r="I127" s="12" t="str">
        <f t="shared" si="6"/>
        <v/>
      </c>
      <c r="J127" s="12" t="str">
        <f t="shared" si="7"/>
        <v/>
      </c>
      <c r="K127" s="12" t="str">
        <f t="shared" si="8"/>
        <v/>
      </c>
      <c r="L127" s="12" t="str">
        <f t="shared" si="9"/>
        <v/>
      </c>
      <c r="M127" s="12" t="str">
        <f t="shared" si="5"/>
        <v/>
      </c>
    </row>
    <row r="128" ht="15.75" customHeight="1">
      <c r="C128" s="12"/>
      <c r="I128" s="12" t="str">
        <f t="shared" si="6"/>
        <v/>
      </c>
      <c r="J128" s="12" t="str">
        <f t="shared" si="7"/>
        <v/>
      </c>
      <c r="K128" s="12" t="str">
        <f t="shared" si="8"/>
        <v/>
      </c>
      <c r="L128" s="12" t="str">
        <f t="shared" si="9"/>
        <v/>
      </c>
      <c r="M128" s="12" t="str">
        <f t="shared" si="5"/>
        <v/>
      </c>
    </row>
    <row r="129" ht="15.75" customHeight="1">
      <c r="C129" s="12"/>
      <c r="I129" s="12" t="str">
        <f t="shared" si="6"/>
        <v/>
      </c>
      <c r="J129" s="12" t="str">
        <f t="shared" si="7"/>
        <v/>
      </c>
      <c r="K129" s="12" t="str">
        <f t="shared" si="8"/>
        <v/>
      </c>
      <c r="L129" s="12" t="str">
        <f t="shared" si="9"/>
        <v/>
      </c>
      <c r="M129" s="12" t="str">
        <f t="shared" si="5"/>
        <v/>
      </c>
    </row>
    <row r="130" ht="15.75" customHeight="1">
      <c r="C130" s="12"/>
      <c r="I130" s="12" t="str">
        <f t="shared" si="6"/>
        <v/>
      </c>
      <c r="J130" s="12" t="str">
        <f t="shared" si="7"/>
        <v/>
      </c>
      <c r="K130" s="12" t="str">
        <f t="shared" si="8"/>
        <v/>
      </c>
      <c r="L130" s="12" t="str">
        <f t="shared" si="9"/>
        <v/>
      </c>
      <c r="M130" s="12" t="str">
        <f t="shared" si="5"/>
        <v/>
      </c>
    </row>
    <row r="131" ht="15.75" customHeight="1">
      <c r="C131" s="12"/>
      <c r="I131" s="12" t="str">
        <f t="shared" si="6"/>
        <v/>
      </c>
      <c r="J131" s="12" t="str">
        <f t="shared" si="7"/>
        <v/>
      </c>
      <c r="K131" s="12" t="str">
        <f t="shared" si="8"/>
        <v/>
      </c>
      <c r="L131" s="12" t="str">
        <f t="shared" si="9"/>
        <v/>
      </c>
      <c r="M131" s="12" t="str">
        <f t="shared" si="5"/>
        <v/>
      </c>
    </row>
    <row r="132" ht="15.75" customHeight="1">
      <c r="C132" s="12"/>
      <c r="I132" s="12" t="str">
        <f t="shared" si="6"/>
        <v/>
      </c>
      <c r="J132" s="12" t="str">
        <f t="shared" si="7"/>
        <v/>
      </c>
      <c r="K132" s="12" t="str">
        <f t="shared" si="8"/>
        <v/>
      </c>
      <c r="L132" s="12" t="str">
        <f t="shared" si="9"/>
        <v/>
      </c>
      <c r="M132" s="12" t="str">
        <f t="shared" si="5"/>
        <v/>
      </c>
    </row>
    <row r="133" ht="15.75" customHeight="1">
      <c r="C133" s="12"/>
      <c r="I133" s="12" t="str">
        <f t="shared" si="6"/>
        <v/>
      </c>
      <c r="J133" s="12" t="str">
        <f t="shared" si="7"/>
        <v/>
      </c>
      <c r="K133" s="12" t="str">
        <f t="shared" si="8"/>
        <v/>
      </c>
      <c r="L133" s="12" t="str">
        <f t="shared" si="9"/>
        <v/>
      </c>
      <c r="M133" s="12" t="str">
        <f t="shared" si="5"/>
        <v/>
      </c>
    </row>
    <row r="134" ht="15.75" customHeight="1">
      <c r="C134" s="12"/>
      <c r="I134" s="12" t="str">
        <f t="shared" si="6"/>
        <v/>
      </c>
      <c r="J134" s="12" t="str">
        <f t="shared" si="7"/>
        <v/>
      </c>
      <c r="K134" s="12" t="str">
        <f t="shared" si="8"/>
        <v/>
      </c>
      <c r="L134" s="12" t="str">
        <f t="shared" si="9"/>
        <v/>
      </c>
      <c r="M134" s="12" t="str">
        <f t="shared" si="5"/>
        <v/>
      </c>
    </row>
    <row r="135" ht="15.75" customHeight="1">
      <c r="C135" s="12"/>
      <c r="I135" s="12" t="str">
        <f t="shared" si="6"/>
        <v/>
      </c>
      <c r="J135" s="12" t="str">
        <f t="shared" si="7"/>
        <v/>
      </c>
      <c r="K135" s="12" t="str">
        <f t="shared" si="8"/>
        <v/>
      </c>
      <c r="L135" s="12" t="str">
        <f t="shared" si="9"/>
        <v/>
      </c>
      <c r="M135" s="12" t="str">
        <f t="shared" si="5"/>
        <v/>
      </c>
    </row>
    <row r="136" ht="15.75" customHeight="1">
      <c r="C136" s="12"/>
      <c r="I136" s="12" t="str">
        <f t="shared" si="6"/>
        <v/>
      </c>
      <c r="J136" s="12" t="str">
        <f t="shared" si="7"/>
        <v/>
      </c>
      <c r="K136" s="12" t="str">
        <f t="shared" si="8"/>
        <v/>
      </c>
      <c r="L136" s="12" t="str">
        <f t="shared" si="9"/>
        <v/>
      </c>
      <c r="M136" s="12" t="str">
        <f t="shared" si="5"/>
        <v/>
      </c>
    </row>
    <row r="137" ht="15.75" customHeight="1">
      <c r="C137" s="12"/>
      <c r="I137" s="12" t="str">
        <f t="shared" si="6"/>
        <v/>
      </c>
      <c r="J137" s="12" t="str">
        <f t="shared" si="7"/>
        <v/>
      </c>
      <c r="K137" s="12" t="str">
        <f t="shared" si="8"/>
        <v/>
      </c>
      <c r="L137" s="12" t="str">
        <f t="shared" si="9"/>
        <v/>
      </c>
      <c r="M137" s="12" t="str">
        <f t="shared" si="5"/>
        <v/>
      </c>
    </row>
    <row r="138" ht="15.75" customHeight="1">
      <c r="C138" s="12"/>
      <c r="I138" s="12" t="str">
        <f t="shared" si="6"/>
        <v/>
      </c>
      <c r="J138" s="12" t="str">
        <f t="shared" si="7"/>
        <v/>
      </c>
      <c r="K138" s="12" t="str">
        <f t="shared" si="8"/>
        <v/>
      </c>
      <c r="L138" s="12" t="str">
        <f t="shared" si="9"/>
        <v/>
      </c>
      <c r="M138" s="12" t="str">
        <f t="shared" si="5"/>
        <v/>
      </c>
    </row>
    <row r="139" ht="15.75" customHeight="1">
      <c r="C139" s="12"/>
      <c r="I139" s="12" t="str">
        <f t="shared" si="6"/>
        <v/>
      </c>
      <c r="J139" s="12" t="str">
        <f t="shared" si="7"/>
        <v/>
      </c>
      <c r="K139" s="12" t="str">
        <f t="shared" si="8"/>
        <v/>
      </c>
      <c r="L139" s="12" t="str">
        <f t="shared" si="9"/>
        <v/>
      </c>
      <c r="M139" s="12" t="str">
        <f t="shared" si="5"/>
        <v/>
      </c>
    </row>
    <row r="140" ht="15.75" customHeight="1">
      <c r="C140" s="12"/>
      <c r="I140" s="12" t="str">
        <f t="shared" si="6"/>
        <v/>
      </c>
      <c r="J140" s="12" t="str">
        <f t="shared" si="7"/>
        <v/>
      </c>
      <c r="K140" s="12" t="str">
        <f t="shared" si="8"/>
        <v/>
      </c>
      <c r="L140" s="12" t="str">
        <f t="shared" si="9"/>
        <v/>
      </c>
      <c r="M140" s="12" t="str">
        <f t="shared" si="5"/>
        <v/>
      </c>
    </row>
    <row r="141" ht="15.75" customHeight="1">
      <c r="C141" s="12"/>
      <c r="I141" s="12" t="str">
        <f t="shared" si="6"/>
        <v/>
      </c>
      <c r="J141" s="12" t="str">
        <f t="shared" si="7"/>
        <v/>
      </c>
      <c r="K141" s="12" t="str">
        <f t="shared" si="8"/>
        <v/>
      </c>
      <c r="L141" s="12" t="str">
        <f t="shared" si="9"/>
        <v/>
      </c>
      <c r="M141" s="12" t="str">
        <f t="shared" si="5"/>
        <v/>
      </c>
    </row>
    <row r="142" ht="15.75" customHeight="1">
      <c r="C142" s="12"/>
      <c r="I142" s="12" t="str">
        <f t="shared" si="6"/>
        <v/>
      </c>
      <c r="J142" s="12" t="str">
        <f t="shared" si="7"/>
        <v/>
      </c>
      <c r="K142" s="12" t="str">
        <f t="shared" si="8"/>
        <v/>
      </c>
      <c r="L142" s="12" t="str">
        <f t="shared" si="9"/>
        <v/>
      </c>
      <c r="M142" s="12" t="str">
        <f t="shared" si="5"/>
        <v/>
      </c>
    </row>
    <row r="143" ht="15.75" customHeight="1">
      <c r="C143" s="12"/>
      <c r="I143" s="12" t="str">
        <f t="shared" si="6"/>
        <v/>
      </c>
      <c r="J143" s="12" t="str">
        <f t="shared" si="7"/>
        <v/>
      </c>
      <c r="K143" s="12" t="str">
        <f t="shared" si="8"/>
        <v/>
      </c>
      <c r="L143" s="12" t="str">
        <f t="shared" si="9"/>
        <v/>
      </c>
      <c r="M143" s="12" t="str">
        <f t="shared" si="5"/>
        <v/>
      </c>
    </row>
    <row r="144" ht="15.75" customHeight="1">
      <c r="C144" s="12"/>
      <c r="I144" s="12" t="str">
        <f t="shared" si="6"/>
        <v/>
      </c>
      <c r="J144" s="12" t="str">
        <f t="shared" si="7"/>
        <v/>
      </c>
      <c r="K144" s="12" t="str">
        <f t="shared" si="8"/>
        <v/>
      </c>
      <c r="L144" s="12" t="str">
        <f t="shared" si="9"/>
        <v/>
      </c>
      <c r="M144" s="12" t="str">
        <f t="shared" si="5"/>
        <v/>
      </c>
    </row>
    <row r="145" ht="15.75" customHeight="1">
      <c r="C145" s="12"/>
      <c r="I145" s="12" t="str">
        <f t="shared" si="6"/>
        <v/>
      </c>
      <c r="J145" s="12" t="str">
        <f t="shared" si="7"/>
        <v/>
      </c>
      <c r="K145" s="12" t="str">
        <f t="shared" si="8"/>
        <v/>
      </c>
      <c r="L145" s="12" t="str">
        <f t="shared" si="9"/>
        <v/>
      </c>
      <c r="M145" s="12" t="str">
        <f t="shared" si="5"/>
        <v/>
      </c>
    </row>
    <row r="146" ht="15.75" customHeight="1">
      <c r="C146" s="12"/>
      <c r="I146" s="12" t="str">
        <f t="shared" si="6"/>
        <v/>
      </c>
      <c r="J146" s="12" t="str">
        <f t="shared" si="7"/>
        <v/>
      </c>
      <c r="K146" s="12" t="str">
        <f t="shared" si="8"/>
        <v/>
      </c>
      <c r="L146" s="12" t="str">
        <f t="shared" si="9"/>
        <v/>
      </c>
      <c r="M146" s="12" t="str">
        <f t="shared" si="5"/>
        <v/>
      </c>
    </row>
    <row r="147" ht="15.75" customHeight="1">
      <c r="C147" s="12"/>
      <c r="I147" s="12" t="str">
        <f t="shared" si="6"/>
        <v/>
      </c>
      <c r="J147" s="12" t="str">
        <f t="shared" si="7"/>
        <v/>
      </c>
      <c r="K147" s="12" t="str">
        <f t="shared" si="8"/>
        <v/>
      </c>
      <c r="L147" s="12" t="str">
        <f t="shared" si="9"/>
        <v/>
      </c>
      <c r="M147" s="12" t="str">
        <f t="shared" si="5"/>
        <v/>
      </c>
    </row>
    <row r="148" ht="15.75" customHeight="1">
      <c r="C148" s="12"/>
      <c r="I148" s="12" t="str">
        <f t="shared" si="6"/>
        <v/>
      </c>
      <c r="J148" s="12" t="str">
        <f t="shared" si="7"/>
        <v/>
      </c>
      <c r="K148" s="12" t="str">
        <f t="shared" si="8"/>
        <v/>
      </c>
      <c r="L148" s="12" t="str">
        <f t="shared" si="9"/>
        <v/>
      </c>
      <c r="M148" s="12" t="str">
        <f t="shared" si="5"/>
        <v/>
      </c>
    </row>
    <row r="149" ht="15.75" customHeight="1">
      <c r="C149" s="12"/>
      <c r="I149" s="12" t="str">
        <f t="shared" si="6"/>
        <v/>
      </c>
      <c r="J149" s="12" t="str">
        <f t="shared" si="7"/>
        <v/>
      </c>
      <c r="K149" s="12" t="str">
        <f t="shared" si="8"/>
        <v/>
      </c>
      <c r="L149" s="12" t="str">
        <f t="shared" si="9"/>
        <v/>
      </c>
      <c r="M149" s="12" t="str">
        <f t="shared" si="5"/>
        <v/>
      </c>
    </row>
    <row r="150" ht="15.75" customHeight="1">
      <c r="C150" s="12"/>
      <c r="I150" s="12" t="str">
        <f t="shared" si="6"/>
        <v/>
      </c>
      <c r="J150" s="12" t="str">
        <f t="shared" si="7"/>
        <v/>
      </c>
      <c r="K150" s="12" t="str">
        <f t="shared" si="8"/>
        <v/>
      </c>
      <c r="L150" s="12" t="str">
        <f t="shared" si="9"/>
        <v/>
      </c>
      <c r="M150" s="12" t="str">
        <f t="shared" si="5"/>
        <v/>
      </c>
    </row>
    <row r="151" ht="15.75" customHeight="1">
      <c r="C151" s="12"/>
      <c r="I151" s="12" t="str">
        <f t="shared" si="6"/>
        <v/>
      </c>
      <c r="J151" s="12" t="str">
        <f t="shared" si="7"/>
        <v/>
      </c>
      <c r="K151" s="12" t="str">
        <f t="shared" si="8"/>
        <v/>
      </c>
      <c r="L151" s="12" t="str">
        <f t="shared" si="9"/>
        <v/>
      </c>
      <c r="M151" s="12" t="str">
        <f t="shared" si="5"/>
        <v/>
      </c>
    </row>
    <row r="152" ht="15.75" customHeight="1">
      <c r="C152" s="12"/>
      <c r="I152" s="12" t="str">
        <f t="shared" si="6"/>
        <v/>
      </c>
      <c r="J152" s="12" t="str">
        <f t="shared" si="7"/>
        <v/>
      </c>
      <c r="K152" s="12" t="str">
        <f t="shared" si="8"/>
        <v/>
      </c>
      <c r="L152" s="12" t="str">
        <f t="shared" si="9"/>
        <v/>
      </c>
      <c r="M152" s="12" t="str">
        <f t="shared" si="5"/>
        <v/>
      </c>
    </row>
    <row r="153" ht="15.75" customHeight="1">
      <c r="C153" s="12"/>
      <c r="I153" s="12" t="str">
        <f t="shared" si="6"/>
        <v/>
      </c>
      <c r="J153" s="12" t="str">
        <f t="shared" si="7"/>
        <v/>
      </c>
      <c r="K153" s="12" t="str">
        <f t="shared" si="8"/>
        <v/>
      </c>
      <c r="L153" s="12" t="str">
        <f t="shared" si="9"/>
        <v/>
      </c>
      <c r="M153" s="12" t="str">
        <f t="shared" si="5"/>
        <v/>
      </c>
    </row>
    <row r="154" ht="15.75" customHeight="1">
      <c r="C154" s="12"/>
      <c r="I154" s="12" t="str">
        <f t="shared" si="6"/>
        <v/>
      </c>
      <c r="J154" s="12" t="str">
        <f t="shared" si="7"/>
        <v/>
      </c>
      <c r="K154" s="12" t="str">
        <f t="shared" si="8"/>
        <v/>
      </c>
      <c r="L154" s="12" t="str">
        <f t="shared" si="9"/>
        <v/>
      </c>
      <c r="M154" s="12" t="str">
        <f t="shared" si="5"/>
        <v/>
      </c>
    </row>
    <row r="155" ht="15.75" customHeight="1">
      <c r="C155" s="12"/>
      <c r="I155" s="12" t="str">
        <f t="shared" si="6"/>
        <v/>
      </c>
      <c r="J155" s="12" t="str">
        <f t="shared" si="7"/>
        <v/>
      </c>
      <c r="K155" s="12" t="str">
        <f t="shared" si="8"/>
        <v/>
      </c>
      <c r="L155" s="12" t="str">
        <f t="shared" si="9"/>
        <v/>
      </c>
      <c r="M155" s="12" t="str">
        <f t="shared" si="5"/>
        <v/>
      </c>
    </row>
    <row r="156" ht="15.75" customHeight="1">
      <c r="C156" s="12"/>
      <c r="I156" s="12" t="str">
        <f t="shared" si="6"/>
        <v/>
      </c>
      <c r="J156" s="12" t="str">
        <f t="shared" si="7"/>
        <v/>
      </c>
      <c r="K156" s="12" t="str">
        <f t="shared" si="8"/>
        <v/>
      </c>
      <c r="L156" s="12" t="str">
        <f t="shared" si="9"/>
        <v/>
      </c>
      <c r="M156" s="12" t="str">
        <f t="shared" si="5"/>
        <v/>
      </c>
    </row>
    <row r="157" ht="15.75" customHeight="1">
      <c r="C157" s="12"/>
      <c r="I157" s="12" t="str">
        <f t="shared" si="6"/>
        <v/>
      </c>
      <c r="J157" s="12" t="str">
        <f t="shared" si="7"/>
        <v/>
      </c>
      <c r="K157" s="12" t="str">
        <f t="shared" si="8"/>
        <v/>
      </c>
      <c r="L157" s="12" t="str">
        <f t="shared" si="9"/>
        <v/>
      </c>
      <c r="M157" s="12" t="str">
        <f t="shared" si="5"/>
        <v/>
      </c>
    </row>
    <row r="158" ht="15.75" customHeight="1">
      <c r="C158" s="12"/>
      <c r="I158" s="12" t="str">
        <f t="shared" si="6"/>
        <v/>
      </c>
      <c r="J158" s="12" t="str">
        <f t="shared" si="7"/>
        <v/>
      </c>
      <c r="K158" s="12" t="str">
        <f t="shared" si="8"/>
        <v/>
      </c>
      <c r="L158" s="12" t="str">
        <f t="shared" si="9"/>
        <v/>
      </c>
      <c r="M158" s="12" t="str">
        <f t="shared" si="5"/>
        <v/>
      </c>
    </row>
    <row r="159" ht="15.75" customHeight="1">
      <c r="C159" s="12"/>
      <c r="I159" s="12" t="str">
        <f t="shared" si="6"/>
        <v/>
      </c>
      <c r="J159" s="12" t="str">
        <f t="shared" si="7"/>
        <v/>
      </c>
      <c r="K159" s="12" t="str">
        <f t="shared" si="8"/>
        <v/>
      </c>
      <c r="L159" s="12" t="str">
        <f t="shared" si="9"/>
        <v/>
      </c>
      <c r="M159" s="12" t="str">
        <f t="shared" si="5"/>
        <v/>
      </c>
    </row>
    <row r="160" ht="15.75" customHeight="1">
      <c r="C160" s="12"/>
      <c r="I160" s="12" t="str">
        <f t="shared" si="6"/>
        <v/>
      </c>
      <c r="J160" s="12" t="str">
        <f t="shared" si="7"/>
        <v/>
      </c>
      <c r="K160" s="12" t="str">
        <f t="shared" si="8"/>
        <v/>
      </c>
      <c r="L160" s="12" t="str">
        <f t="shared" si="9"/>
        <v/>
      </c>
      <c r="M160" s="12" t="str">
        <f t="shared" si="5"/>
        <v/>
      </c>
    </row>
    <row r="161" ht="15.75" customHeight="1">
      <c r="C161" s="12"/>
      <c r="I161" s="12" t="str">
        <f t="shared" si="6"/>
        <v/>
      </c>
      <c r="J161" s="12" t="str">
        <f t="shared" si="7"/>
        <v/>
      </c>
      <c r="K161" s="12" t="str">
        <f t="shared" si="8"/>
        <v/>
      </c>
      <c r="L161" s="12" t="str">
        <f t="shared" si="9"/>
        <v/>
      </c>
      <c r="M161" s="12" t="str">
        <f t="shared" si="5"/>
        <v/>
      </c>
    </row>
    <row r="162" ht="15.75" customHeight="1">
      <c r="C162" s="12"/>
      <c r="I162" s="12" t="str">
        <f t="shared" si="6"/>
        <v/>
      </c>
      <c r="J162" s="12" t="str">
        <f t="shared" si="7"/>
        <v/>
      </c>
      <c r="K162" s="12" t="str">
        <f t="shared" si="8"/>
        <v/>
      </c>
      <c r="L162" s="12" t="str">
        <f t="shared" si="9"/>
        <v/>
      </c>
      <c r="M162" s="12" t="str">
        <f t="shared" si="5"/>
        <v/>
      </c>
    </row>
    <row r="163" ht="15.75" customHeight="1">
      <c r="C163" s="12"/>
      <c r="I163" s="12" t="str">
        <f t="shared" si="6"/>
        <v/>
      </c>
      <c r="J163" s="12" t="str">
        <f t="shared" si="7"/>
        <v/>
      </c>
      <c r="K163" s="12" t="str">
        <f t="shared" si="8"/>
        <v/>
      </c>
      <c r="L163" s="12" t="str">
        <f t="shared" si="9"/>
        <v/>
      </c>
      <c r="M163" s="12" t="str">
        <f t="shared" si="5"/>
        <v/>
      </c>
    </row>
    <row r="164" ht="15.75" customHeight="1">
      <c r="C164" s="12"/>
      <c r="I164" s="12" t="str">
        <f t="shared" si="6"/>
        <v/>
      </c>
      <c r="J164" s="12" t="str">
        <f t="shared" si="7"/>
        <v/>
      </c>
      <c r="K164" s="12" t="str">
        <f t="shared" si="8"/>
        <v/>
      </c>
      <c r="L164" s="12" t="str">
        <f t="shared" si="9"/>
        <v/>
      </c>
      <c r="M164" s="12" t="str">
        <f t="shared" si="5"/>
        <v/>
      </c>
    </row>
    <row r="165" ht="15.75" customHeight="1">
      <c r="C165" s="12"/>
      <c r="I165" s="12" t="str">
        <f t="shared" si="6"/>
        <v/>
      </c>
      <c r="J165" s="12" t="str">
        <f t="shared" si="7"/>
        <v/>
      </c>
      <c r="K165" s="12" t="str">
        <f t="shared" si="8"/>
        <v/>
      </c>
      <c r="L165" s="12" t="str">
        <f t="shared" si="9"/>
        <v/>
      </c>
      <c r="M165" s="12" t="str">
        <f t="shared" si="5"/>
        <v/>
      </c>
    </row>
    <row r="166" ht="15.75" customHeight="1">
      <c r="C166" s="12"/>
      <c r="I166" s="12" t="str">
        <f t="shared" si="6"/>
        <v/>
      </c>
      <c r="J166" s="12" t="str">
        <f t="shared" si="7"/>
        <v/>
      </c>
      <c r="K166" s="12" t="str">
        <f t="shared" si="8"/>
        <v/>
      </c>
      <c r="L166" s="12" t="str">
        <f t="shared" si="9"/>
        <v/>
      </c>
      <c r="M166" s="12" t="str">
        <f t="shared" si="5"/>
        <v/>
      </c>
    </row>
    <row r="167" ht="15.75" customHeight="1">
      <c r="C167" s="12"/>
      <c r="I167" s="12" t="str">
        <f t="shared" si="6"/>
        <v/>
      </c>
      <c r="J167" s="12" t="str">
        <f t="shared" si="7"/>
        <v/>
      </c>
      <c r="K167" s="12" t="str">
        <f t="shared" si="8"/>
        <v/>
      </c>
      <c r="L167" s="12" t="str">
        <f t="shared" si="9"/>
        <v/>
      </c>
      <c r="M167" s="12" t="str">
        <f t="shared" si="5"/>
        <v/>
      </c>
    </row>
    <row r="168" ht="15.75" customHeight="1">
      <c r="C168" s="12"/>
      <c r="I168" s="12" t="str">
        <f t="shared" si="6"/>
        <v/>
      </c>
      <c r="J168" s="12" t="str">
        <f t="shared" si="7"/>
        <v/>
      </c>
      <c r="K168" s="12" t="str">
        <f t="shared" si="8"/>
        <v/>
      </c>
      <c r="L168" s="12" t="str">
        <f t="shared" si="9"/>
        <v/>
      </c>
      <c r="M168" s="12" t="str">
        <f t="shared" si="5"/>
        <v/>
      </c>
    </row>
    <row r="169" ht="15.75" customHeight="1">
      <c r="C169" s="12"/>
      <c r="I169" s="12" t="str">
        <f t="shared" si="6"/>
        <v/>
      </c>
      <c r="J169" s="12" t="str">
        <f t="shared" si="7"/>
        <v/>
      </c>
      <c r="K169" s="12" t="str">
        <f t="shared" si="8"/>
        <v/>
      </c>
      <c r="L169" s="12" t="str">
        <f t="shared" si="9"/>
        <v/>
      </c>
      <c r="M169" s="12" t="str">
        <f t="shared" si="5"/>
        <v/>
      </c>
    </row>
    <row r="170" ht="15.75" customHeight="1">
      <c r="C170" s="12"/>
      <c r="I170" s="12" t="str">
        <f t="shared" si="6"/>
        <v/>
      </c>
      <c r="J170" s="12" t="str">
        <f t="shared" si="7"/>
        <v/>
      </c>
      <c r="K170" s="12" t="str">
        <f t="shared" si="8"/>
        <v/>
      </c>
      <c r="L170" s="12" t="str">
        <f t="shared" si="9"/>
        <v/>
      </c>
      <c r="M170" s="12" t="str">
        <f t="shared" si="5"/>
        <v/>
      </c>
    </row>
    <row r="171" ht="15.75" customHeight="1">
      <c r="C171" s="12"/>
      <c r="I171" s="12" t="str">
        <f t="shared" si="6"/>
        <v/>
      </c>
      <c r="J171" s="12" t="str">
        <f t="shared" si="7"/>
        <v/>
      </c>
      <c r="K171" s="12" t="str">
        <f t="shared" si="8"/>
        <v/>
      </c>
      <c r="L171" s="12" t="str">
        <f t="shared" si="9"/>
        <v/>
      </c>
      <c r="M171" s="12" t="str">
        <f t="shared" si="5"/>
        <v/>
      </c>
    </row>
    <row r="172" ht="15.75" customHeight="1">
      <c r="C172" s="12"/>
      <c r="I172" s="12" t="str">
        <f t="shared" si="6"/>
        <v/>
      </c>
      <c r="J172" s="12" t="str">
        <f t="shared" si="7"/>
        <v/>
      </c>
      <c r="K172" s="12" t="str">
        <f t="shared" si="8"/>
        <v/>
      </c>
      <c r="L172" s="12" t="str">
        <f t="shared" si="9"/>
        <v/>
      </c>
      <c r="M172" s="12" t="str">
        <f t="shared" si="5"/>
        <v/>
      </c>
    </row>
    <row r="173" ht="15.75" customHeight="1">
      <c r="C173" s="12"/>
      <c r="I173" s="12" t="str">
        <f t="shared" si="6"/>
        <v/>
      </c>
      <c r="J173" s="12" t="str">
        <f t="shared" si="7"/>
        <v/>
      </c>
      <c r="K173" s="12" t="str">
        <f t="shared" si="8"/>
        <v/>
      </c>
      <c r="L173" s="12" t="str">
        <f t="shared" si="9"/>
        <v/>
      </c>
      <c r="M173" s="12" t="str">
        <f t="shared" si="5"/>
        <v/>
      </c>
    </row>
    <row r="174" ht="15.75" customHeight="1">
      <c r="C174" s="12"/>
      <c r="I174" s="12" t="str">
        <f t="shared" si="6"/>
        <v/>
      </c>
      <c r="J174" s="12" t="str">
        <f t="shared" si="7"/>
        <v/>
      </c>
      <c r="K174" s="12" t="str">
        <f t="shared" si="8"/>
        <v/>
      </c>
      <c r="L174" s="12" t="str">
        <f t="shared" si="9"/>
        <v/>
      </c>
      <c r="M174" s="12" t="str">
        <f t="shared" si="5"/>
        <v/>
      </c>
    </row>
    <row r="175" ht="15.75" customHeight="1">
      <c r="C175" s="12"/>
      <c r="I175" s="12" t="str">
        <f t="shared" si="6"/>
        <v/>
      </c>
      <c r="J175" s="12" t="str">
        <f t="shared" si="7"/>
        <v/>
      </c>
      <c r="K175" s="12" t="str">
        <f t="shared" si="8"/>
        <v/>
      </c>
      <c r="L175" s="12" t="str">
        <f t="shared" si="9"/>
        <v/>
      </c>
      <c r="M175" s="12" t="str">
        <f t="shared" si="5"/>
        <v/>
      </c>
    </row>
    <row r="176" ht="15.75" customHeight="1">
      <c r="C176" s="12"/>
      <c r="I176" s="12" t="str">
        <f t="shared" si="6"/>
        <v/>
      </c>
      <c r="J176" s="12" t="str">
        <f t="shared" si="7"/>
        <v/>
      </c>
      <c r="K176" s="12" t="str">
        <f t="shared" si="8"/>
        <v/>
      </c>
      <c r="L176" s="12" t="str">
        <f t="shared" si="9"/>
        <v/>
      </c>
      <c r="M176" s="12" t="str">
        <f t="shared" si="5"/>
        <v/>
      </c>
    </row>
    <row r="177" ht="15.75" customHeight="1">
      <c r="C177" s="12"/>
      <c r="I177" s="12" t="str">
        <f t="shared" si="6"/>
        <v/>
      </c>
      <c r="J177" s="12" t="str">
        <f t="shared" si="7"/>
        <v/>
      </c>
      <c r="K177" s="12" t="str">
        <f t="shared" si="8"/>
        <v/>
      </c>
      <c r="L177" s="12" t="str">
        <f t="shared" si="9"/>
        <v/>
      </c>
      <c r="M177" s="12" t="str">
        <f t="shared" si="5"/>
        <v/>
      </c>
    </row>
    <row r="178" ht="15.75" customHeight="1">
      <c r="C178" s="12"/>
      <c r="I178" s="12" t="str">
        <f t="shared" si="6"/>
        <v/>
      </c>
      <c r="J178" s="12" t="str">
        <f t="shared" si="7"/>
        <v/>
      </c>
      <c r="K178" s="12" t="str">
        <f t="shared" si="8"/>
        <v/>
      </c>
      <c r="L178" s="12" t="str">
        <f t="shared" si="9"/>
        <v/>
      </c>
      <c r="M178" s="12" t="str">
        <f t="shared" si="5"/>
        <v/>
      </c>
    </row>
    <row r="179" ht="15.75" customHeight="1">
      <c r="C179" s="12"/>
      <c r="I179" s="12" t="str">
        <f t="shared" si="6"/>
        <v/>
      </c>
      <c r="J179" s="12" t="str">
        <f t="shared" si="7"/>
        <v/>
      </c>
      <c r="K179" s="12" t="str">
        <f t="shared" si="8"/>
        <v/>
      </c>
      <c r="L179" s="12" t="str">
        <f t="shared" si="9"/>
        <v/>
      </c>
      <c r="M179" s="12" t="str">
        <f t="shared" si="5"/>
        <v/>
      </c>
    </row>
    <row r="180" ht="15.75" customHeight="1">
      <c r="C180" s="12"/>
      <c r="I180" s="12" t="str">
        <f t="shared" si="6"/>
        <v/>
      </c>
      <c r="J180" s="12" t="str">
        <f t="shared" si="7"/>
        <v/>
      </c>
      <c r="K180" s="12" t="str">
        <f t="shared" si="8"/>
        <v/>
      </c>
      <c r="L180" s="12" t="str">
        <f t="shared" si="9"/>
        <v/>
      </c>
      <c r="M180" s="12" t="str">
        <f t="shared" si="5"/>
        <v/>
      </c>
    </row>
    <row r="181" ht="15.75" customHeight="1">
      <c r="C181" s="12"/>
      <c r="I181" s="12" t="str">
        <f t="shared" si="6"/>
        <v/>
      </c>
      <c r="J181" s="12" t="str">
        <f t="shared" si="7"/>
        <v/>
      </c>
      <c r="K181" s="12" t="str">
        <f t="shared" si="8"/>
        <v/>
      </c>
      <c r="L181" s="12" t="str">
        <f t="shared" si="9"/>
        <v/>
      </c>
      <c r="M181" s="12" t="str">
        <f t="shared" si="5"/>
        <v/>
      </c>
    </row>
    <row r="182" ht="15.75" customHeight="1">
      <c r="C182" s="12"/>
      <c r="I182" s="12" t="str">
        <f t="shared" si="6"/>
        <v/>
      </c>
      <c r="J182" s="12" t="str">
        <f t="shared" si="7"/>
        <v/>
      </c>
      <c r="K182" s="12" t="str">
        <f t="shared" si="8"/>
        <v/>
      </c>
      <c r="L182" s="12" t="str">
        <f t="shared" si="9"/>
        <v/>
      </c>
      <c r="M182" s="12" t="str">
        <f t="shared" si="5"/>
        <v/>
      </c>
    </row>
    <row r="183" ht="15.75" customHeight="1">
      <c r="C183" s="12"/>
      <c r="I183" s="12" t="str">
        <f t="shared" si="6"/>
        <v/>
      </c>
      <c r="J183" s="12" t="str">
        <f t="shared" si="7"/>
        <v/>
      </c>
      <c r="K183" s="12" t="str">
        <f t="shared" si="8"/>
        <v/>
      </c>
      <c r="L183" s="12" t="str">
        <f t="shared" si="9"/>
        <v/>
      </c>
      <c r="M183" s="12" t="str">
        <f t="shared" si="5"/>
        <v/>
      </c>
    </row>
    <row r="184" ht="15.75" customHeight="1">
      <c r="C184" s="12"/>
      <c r="I184" s="12" t="str">
        <f t="shared" si="6"/>
        <v/>
      </c>
      <c r="J184" s="12" t="str">
        <f t="shared" si="7"/>
        <v/>
      </c>
      <c r="K184" s="12" t="str">
        <f t="shared" si="8"/>
        <v/>
      </c>
      <c r="L184" s="12" t="str">
        <f t="shared" si="9"/>
        <v/>
      </c>
      <c r="M184" s="12" t="str">
        <f t="shared" si="5"/>
        <v/>
      </c>
    </row>
    <row r="185" ht="15.75" customHeight="1">
      <c r="C185" s="12"/>
      <c r="I185" s="12" t="str">
        <f t="shared" si="6"/>
        <v/>
      </c>
      <c r="J185" s="12" t="str">
        <f t="shared" si="7"/>
        <v/>
      </c>
      <c r="K185" s="12" t="str">
        <f t="shared" si="8"/>
        <v/>
      </c>
      <c r="L185" s="12" t="str">
        <f t="shared" si="9"/>
        <v/>
      </c>
      <c r="M185" s="12" t="str">
        <f t="shared" si="5"/>
        <v/>
      </c>
    </row>
    <row r="186" ht="15.75" customHeight="1">
      <c r="C186" s="12"/>
      <c r="I186" s="12" t="str">
        <f t="shared" si="6"/>
        <v/>
      </c>
      <c r="J186" s="12" t="str">
        <f t="shared" si="7"/>
        <v/>
      </c>
      <c r="K186" s="12" t="str">
        <f t="shared" si="8"/>
        <v/>
      </c>
      <c r="L186" s="12" t="str">
        <f t="shared" si="9"/>
        <v/>
      </c>
      <c r="M186" s="12" t="str">
        <f t="shared" si="5"/>
        <v/>
      </c>
    </row>
    <row r="187" ht="15.75" customHeight="1">
      <c r="C187" s="12"/>
      <c r="I187" s="12" t="str">
        <f t="shared" si="6"/>
        <v/>
      </c>
      <c r="J187" s="12" t="str">
        <f t="shared" si="7"/>
        <v/>
      </c>
      <c r="K187" s="12" t="str">
        <f t="shared" si="8"/>
        <v/>
      </c>
      <c r="L187" s="12" t="str">
        <f t="shared" si="9"/>
        <v/>
      </c>
      <c r="M187" s="12" t="str">
        <f t="shared" si="5"/>
        <v/>
      </c>
    </row>
    <row r="188" ht="15.75" customHeight="1">
      <c r="C188" s="12"/>
      <c r="I188" s="12" t="str">
        <f t="shared" si="6"/>
        <v/>
      </c>
      <c r="J188" s="12" t="str">
        <f t="shared" si="7"/>
        <v/>
      </c>
      <c r="K188" s="12" t="str">
        <f t="shared" si="8"/>
        <v/>
      </c>
      <c r="L188" s="12" t="str">
        <f t="shared" si="9"/>
        <v/>
      </c>
      <c r="M188" s="12" t="str">
        <f t="shared" si="5"/>
        <v/>
      </c>
    </row>
    <row r="189" ht="15.75" customHeight="1">
      <c r="C189" s="12"/>
      <c r="I189" s="12" t="str">
        <f t="shared" si="6"/>
        <v/>
      </c>
      <c r="J189" s="12" t="str">
        <f t="shared" si="7"/>
        <v/>
      </c>
      <c r="K189" s="12" t="str">
        <f t="shared" si="8"/>
        <v/>
      </c>
      <c r="L189" s="12" t="str">
        <f t="shared" si="9"/>
        <v/>
      </c>
      <c r="M189" s="12" t="str">
        <f t="shared" si="5"/>
        <v/>
      </c>
    </row>
    <row r="190" ht="15.75" customHeight="1">
      <c r="C190" s="12"/>
      <c r="I190" s="12" t="str">
        <f t="shared" si="6"/>
        <v/>
      </c>
      <c r="J190" s="12" t="str">
        <f t="shared" si="7"/>
        <v/>
      </c>
      <c r="K190" s="12" t="str">
        <f t="shared" si="8"/>
        <v/>
      </c>
      <c r="L190" s="12" t="str">
        <f t="shared" si="9"/>
        <v/>
      </c>
      <c r="M190" s="12" t="str">
        <f t="shared" si="5"/>
        <v/>
      </c>
    </row>
    <row r="191" ht="15.75" customHeight="1">
      <c r="C191" s="12"/>
      <c r="I191" s="12" t="str">
        <f t="shared" si="6"/>
        <v/>
      </c>
      <c r="J191" s="12" t="str">
        <f t="shared" si="7"/>
        <v/>
      </c>
      <c r="K191" s="12" t="str">
        <f t="shared" si="8"/>
        <v/>
      </c>
      <c r="L191" s="12" t="str">
        <f t="shared" si="9"/>
        <v/>
      </c>
      <c r="M191" s="12" t="str">
        <f t="shared" si="5"/>
        <v/>
      </c>
    </row>
    <row r="192" ht="15.75" customHeight="1">
      <c r="C192" s="12"/>
      <c r="I192" s="12" t="str">
        <f t="shared" si="6"/>
        <v/>
      </c>
      <c r="J192" s="12" t="str">
        <f t="shared" si="7"/>
        <v/>
      </c>
      <c r="K192" s="12" t="str">
        <f t="shared" si="8"/>
        <v/>
      </c>
      <c r="L192" s="12" t="str">
        <f t="shared" si="9"/>
        <v/>
      </c>
      <c r="M192" s="12" t="str">
        <f t="shared" si="5"/>
        <v/>
      </c>
    </row>
    <row r="193" ht="15.75" customHeight="1">
      <c r="C193" s="12"/>
      <c r="I193" s="12" t="str">
        <f t="shared" si="6"/>
        <v/>
      </c>
      <c r="J193" s="12" t="str">
        <f t="shared" si="7"/>
        <v/>
      </c>
      <c r="K193" s="12" t="str">
        <f t="shared" si="8"/>
        <v/>
      </c>
      <c r="L193" s="12" t="str">
        <f t="shared" si="9"/>
        <v/>
      </c>
      <c r="M193" s="12" t="str">
        <f t="shared" si="5"/>
        <v/>
      </c>
    </row>
    <row r="194" ht="15.75" customHeight="1">
      <c r="C194" s="12"/>
      <c r="I194" s="12" t="str">
        <f t="shared" si="6"/>
        <v/>
      </c>
      <c r="J194" s="12" t="str">
        <f t="shared" si="7"/>
        <v/>
      </c>
      <c r="K194" s="12" t="str">
        <f t="shared" si="8"/>
        <v/>
      </c>
      <c r="L194" s="12" t="str">
        <f t="shared" si="9"/>
        <v/>
      </c>
      <c r="M194" s="12" t="str">
        <f t="shared" si="5"/>
        <v/>
      </c>
    </row>
    <row r="195" ht="15.75" customHeight="1">
      <c r="C195" s="12"/>
      <c r="I195" s="12" t="str">
        <f t="shared" si="6"/>
        <v/>
      </c>
      <c r="J195" s="12" t="str">
        <f t="shared" si="7"/>
        <v/>
      </c>
      <c r="K195" s="12" t="str">
        <f t="shared" si="8"/>
        <v/>
      </c>
      <c r="L195" s="12" t="str">
        <f t="shared" si="9"/>
        <v/>
      </c>
      <c r="M195" s="12" t="str">
        <f t="shared" si="5"/>
        <v/>
      </c>
    </row>
    <row r="196" ht="15.75" customHeight="1">
      <c r="C196" s="12"/>
      <c r="I196" s="12" t="str">
        <f t="shared" si="6"/>
        <v/>
      </c>
      <c r="J196" s="12" t="str">
        <f t="shared" si="7"/>
        <v/>
      </c>
      <c r="K196" s="12" t="str">
        <f t="shared" si="8"/>
        <v/>
      </c>
      <c r="L196" s="12" t="str">
        <f t="shared" si="9"/>
        <v/>
      </c>
      <c r="M196" s="12" t="str">
        <f t="shared" si="5"/>
        <v/>
      </c>
    </row>
    <row r="197" ht="15.75" customHeight="1">
      <c r="C197" s="12"/>
      <c r="I197" s="12" t="str">
        <f t="shared" si="6"/>
        <v/>
      </c>
      <c r="J197" s="12" t="str">
        <f t="shared" si="7"/>
        <v/>
      </c>
      <c r="K197" s="12" t="str">
        <f t="shared" si="8"/>
        <v/>
      </c>
      <c r="L197" s="12" t="str">
        <f t="shared" si="9"/>
        <v/>
      </c>
      <c r="M197" s="12" t="str">
        <f t="shared" si="5"/>
        <v/>
      </c>
    </row>
    <row r="198" ht="15.75" customHeight="1">
      <c r="C198" s="12"/>
      <c r="I198" s="12" t="str">
        <f t="shared" si="6"/>
        <v/>
      </c>
      <c r="J198" s="12" t="str">
        <f t="shared" si="7"/>
        <v/>
      </c>
      <c r="K198" s="12" t="str">
        <f t="shared" si="8"/>
        <v/>
      </c>
      <c r="L198" s="12" t="str">
        <f t="shared" si="9"/>
        <v/>
      </c>
      <c r="M198" s="12" t="str">
        <f t="shared" si="5"/>
        <v/>
      </c>
    </row>
    <row r="199" ht="15.75" customHeight="1">
      <c r="C199" s="12"/>
      <c r="I199" s="12" t="str">
        <f t="shared" si="6"/>
        <v/>
      </c>
      <c r="J199" s="12" t="str">
        <f t="shared" si="7"/>
        <v/>
      </c>
      <c r="K199" s="12" t="str">
        <f t="shared" si="8"/>
        <v/>
      </c>
      <c r="L199" s="12" t="str">
        <f t="shared" si="9"/>
        <v/>
      </c>
      <c r="M199" s="12" t="str">
        <f t="shared" si="5"/>
        <v/>
      </c>
    </row>
    <row r="200" ht="15.75" customHeight="1">
      <c r="C200" s="12"/>
      <c r="I200" s="12" t="str">
        <f t="shared" si="6"/>
        <v/>
      </c>
      <c r="J200" s="12" t="str">
        <f t="shared" si="7"/>
        <v/>
      </c>
      <c r="K200" s="12" t="str">
        <f t="shared" si="8"/>
        <v/>
      </c>
      <c r="L200" s="12" t="str">
        <f t="shared" si="9"/>
        <v/>
      </c>
      <c r="M200" s="12" t="str">
        <f t="shared" si="5"/>
        <v/>
      </c>
    </row>
    <row r="201" ht="15.75" customHeight="1">
      <c r="C201" s="12"/>
      <c r="I201" s="12" t="str">
        <f t="shared" si="6"/>
        <v/>
      </c>
      <c r="J201" s="12" t="str">
        <f t="shared" si="7"/>
        <v/>
      </c>
      <c r="K201" s="12" t="str">
        <f t="shared" si="8"/>
        <v/>
      </c>
      <c r="L201" s="12" t="str">
        <f t="shared" si="9"/>
        <v/>
      </c>
      <c r="M201" s="12" t="str">
        <f t="shared" si="5"/>
        <v/>
      </c>
    </row>
    <row r="202" ht="15.75" customHeight="1">
      <c r="C202" s="12"/>
      <c r="I202" s="12" t="str">
        <f t="shared" si="6"/>
        <v/>
      </c>
      <c r="J202" s="12" t="str">
        <f t="shared" si="7"/>
        <v/>
      </c>
      <c r="K202" s="12" t="str">
        <f t="shared" si="8"/>
        <v/>
      </c>
      <c r="L202" s="12" t="str">
        <f t="shared" si="9"/>
        <v/>
      </c>
      <c r="M202" s="12" t="str">
        <f t="shared" si="5"/>
        <v/>
      </c>
    </row>
    <row r="203" ht="15.75" customHeight="1">
      <c r="C203" s="12"/>
      <c r="I203" s="12" t="str">
        <f t="shared" si="6"/>
        <v/>
      </c>
      <c r="J203" s="12" t="str">
        <f t="shared" si="7"/>
        <v/>
      </c>
      <c r="K203" s="12" t="str">
        <f t="shared" si="8"/>
        <v/>
      </c>
      <c r="L203" s="12" t="str">
        <f t="shared" si="9"/>
        <v/>
      </c>
      <c r="M203" s="12" t="str">
        <f t="shared" si="5"/>
        <v/>
      </c>
    </row>
    <row r="204" ht="15.75" customHeight="1">
      <c r="C204" s="12"/>
      <c r="I204" s="12" t="str">
        <f t="shared" si="6"/>
        <v/>
      </c>
      <c r="J204" s="12" t="str">
        <f t="shared" si="7"/>
        <v/>
      </c>
      <c r="K204" s="12" t="str">
        <f t="shared" si="8"/>
        <v/>
      </c>
      <c r="L204" s="12" t="str">
        <f t="shared" si="9"/>
        <v/>
      </c>
      <c r="M204" s="12" t="str">
        <f t="shared" si="5"/>
        <v/>
      </c>
    </row>
    <row r="205" ht="15.75" customHeight="1">
      <c r="C205" s="12"/>
      <c r="I205" s="12" t="str">
        <f t="shared" si="6"/>
        <v/>
      </c>
      <c r="J205" s="12" t="str">
        <f t="shared" si="7"/>
        <v/>
      </c>
      <c r="K205" s="12" t="str">
        <f t="shared" si="8"/>
        <v/>
      </c>
      <c r="L205" s="12" t="str">
        <f t="shared" si="9"/>
        <v/>
      </c>
      <c r="M205" s="12" t="str">
        <f t="shared" si="5"/>
        <v/>
      </c>
    </row>
    <row r="206" ht="15.75" customHeight="1">
      <c r="C206" s="12"/>
      <c r="I206" s="12" t="str">
        <f t="shared" si="6"/>
        <v/>
      </c>
      <c r="J206" s="12" t="str">
        <f t="shared" si="7"/>
        <v/>
      </c>
      <c r="K206" s="12" t="str">
        <f t="shared" si="8"/>
        <v/>
      </c>
      <c r="L206" s="12" t="str">
        <f t="shared" si="9"/>
        <v/>
      </c>
      <c r="M206" s="12" t="str">
        <f t="shared" si="5"/>
        <v/>
      </c>
    </row>
    <row r="207" ht="15.75" customHeight="1">
      <c r="C207" s="12"/>
      <c r="I207" s="12" t="str">
        <f t="shared" si="6"/>
        <v/>
      </c>
      <c r="J207" s="12" t="str">
        <f t="shared" si="7"/>
        <v/>
      </c>
      <c r="K207" s="12" t="str">
        <f t="shared" si="8"/>
        <v/>
      </c>
      <c r="L207" s="12" t="str">
        <f t="shared" si="9"/>
        <v/>
      </c>
      <c r="M207" s="12" t="str">
        <f t="shared" si="5"/>
        <v/>
      </c>
    </row>
    <row r="208" ht="15.75" customHeight="1">
      <c r="C208" s="12"/>
      <c r="I208" s="12" t="str">
        <f t="shared" si="6"/>
        <v/>
      </c>
      <c r="J208" s="12" t="str">
        <f t="shared" si="7"/>
        <v/>
      </c>
      <c r="K208" s="12" t="str">
        <f t="shared" si="8"/>
        <v/>
      </c>
      <c r="L208" s="12" t="str">
        <f t="shared" si="9"/>
        <v/>
      </c>
      <c r="M208" s="12" t="str">
        <f t="shared" si="5"/>
        <v/>
      </c>
    </row>
    <row r="209" ht="15.75" customHeight="1">
      <c r="C209" s="12"/>
      <c r="I209" s="12" t="str">
        <f t="shared" si="6"/>
        <v/>
      </c>
      <c r="J209" s="12" t="str">
        <f t="shared" si="7"/>
        <v/>
      </c>
      <c r="K209" s="12" t="str">
        <f t="shared" si="8"/>
        <v/>
      </c>
      <c r="L209" s="12" t="str">
        <f t="shared" si="9"/>
        <v/>
      </c>
      <c r="M209" s="12" t="str">
        <f t="shared" si="5"/>
        <v/>
      </c>
    </row>
    <row r="210" ht="15.75" customHeight="1">
      <c r="C210" s="12"/>
      <c r="I210" s="12" t="str">
        <f t="shared" si="6"/>
        <v/>
      </c>
      <c r="J210" s="12" t="str">
        <f t="shared" si="7"/>
        <v/>
      </c>
      <c r="K210" s="12" t="str">
        <f t="shared" si="8"/>
        <v/>
      </c>
      <c r="L210" s="12" t="str">
        <f t="shared" si="9"/>
        <v/>
      </c>
      <c r="M210" s="12" t="str">
        <f t="shared" si="5"/>
        <v/>
      </c>
    </row>
    <row r="211" ht="15.75" customHeight="1">
      <c r="C211" s="12"/>
      <c r="I211" s="12" t="str">
        <f t="shared" si="6"/>
        <v/>
      </c>
      <c r="J211" s="12" t="str">
        <f t="shared" si="7"/>
        <v/>
      </c>
      <c r="K211" s="12" t="str">
        <f t="shared" si="8"/>
        <v/>
      </c>
      <c r="L211" s="12" t="str">
        <f t="shared" si="9"/>
        <v/>
      </c>
      <c r="M211" s="12" t="str">
        <f t="shared" si="5"/>
        <v/>
      </c>
    </row>
    <row r="212" ht="15.75" customHeight="1">
      <c r="C212" s="12"/>
      <c r="I212" s="12" t="str">
        <f t="shared" si="6"/>
        <v/>
      </c>
      <c r="J212" s="12" t="str">
        <f t="shared" si="7"/>
        <v/>
      </c>
      <c r="K212" s="12" t="str">
        <f t="shared" si="8"/>
        <v/>
      </c>
      <c r="L212" s="12" t="str">
        <f t="shared" si="9"/>
        <v/>
      </c>
      <c r="M212" s="12" t="str">
        <f t="shared" si="5"/>
        <v/>
      </c>
    </row>
    <row r="213" ht="15.75" customHeight="1">
      <c r="C213" s="12"/>
      <c r="I213" s="12" t="str">
        <f t="shared" si="6"/>
        <v/>
      </c>
      <c r="J213" s="12" t="str">
        <f t="shared" si="7"/>
        <v/>
      </c>
      <c r="K213" s="12" t="str">
        <f t="shared" si="8"/>
        <v/>
      </c>
      <c r="L213" s="12" t="str">
        <f t="shared" si="9"/>
        <v/>
      </c>
      <c r="M213" s="12" t="str">
        <f t="shared" si="5"/>
        <v/>
      </c>
    </row>
    <row r="214" ht="15.75" customHeight="1">
      <c r="C214" s="12"/>
      <c r="I214" s="12" t="str">
        <f t="shared" si="6"/>
        <v/>
      </c>
      <c r="J214" s="12" t="str">
        <f t="shared" si="7"/>
        <v/>
      </c>
      <c r="K214" s="12" t="str">
        <f t="shared" si="8"/>
        <v/>
      </c>
      <c r="L214" s="12" t="str">
        <f t="shared" si="9"/>
        <v/>
      </c>
      <c r="M214" s="12" t="str">
        <f t="shared" si="5"/>
        <v/>
      </c>
    </row>
    <row r="215" ht="15.75" customHeight="1">
      <c r="C215" s="12"/>
      <c r="I215" s="12" t="str">
        <f t="shared" si="6"/>
        <v/>
      </c>
      <c r="J215" s="12" t="str">
        <f t="shared" si="7"/>
        <v/>
      </c>
      <c r="K215" s="12" t="str">
        <f t="shared" si="8"/>
        <v/>
      </c>
      <c r="L215" s="12" t="str">
        <f t="shared" si="9"/>
        <v/>
      </c>
      <c r="M215" s="12" t="str">
        <f t="shared" si="5"/>
        <v/>
      </c>
    </row>
    <row r="216" ht="15.75" customHeight="1">
      <c r="C216" s="12"/>
      <c r="I216" s="12" t="str">
        <f t="shared" si="6"/>
        <v/>
      </c>
      <c r="J216" s="12" t="str">
        <f t="shared" si="7"/>
        <v/>
      </c>
      <c r="K216" s="12" t="str">
        <f t="shared" si="8"/>
        <v/>
      </c>
      <c r="L216" s="12" t="str">
        <f t="shared" si="9"/>
        <v/>
      </c>
      <c r="M216" s="12" t="str">
        <f t="shared" si="5"/>
        <v/>
      </c>
    </row>
    <row r="217" ht="15.75" customHeight="1">
      <c r="C217" s="12"/>
      <c r="I217" s="12" t="str">
        <f t="shared" si="6"/>
        <v/>
      </c>
      <c r="J217" s="12" t="str">
        <f t="shared" si="7"/>
        <v/>
      </c>
      <c r="K217" s="12" t="str">
        <f t="shared" si="8"/>
        <v/>
      </c>
      <c r="L217" s="12" t="str">
        <f t="shared" si="9"/>
        <v/>
      </c>
      <c r="M217" s="12" t="str">
        <f t="shared" si="5"/>
        <v/>
      </c>
    </row>
    <row r="218" ht="15.75" customHeight="1">
      <c r="C218" s="12"/>
      <c r="I218" s="12" t="str">
        <f t="shared" si="6"/>
        <v/>
      </c>
      <c r="J218" s="12" t="str">
        <f t="shared" si="7"/>
        <v/>
      </c>
      <c r="K218" s="12" t="str">
        <f t="shared" si="8"/>
        <v/>
      </c>
      <c r="L218" s="12" t="str">
        <f t="shared" si="9"/>
        <v/>
      </c>
      <c r="M218" s="12" t="str">
        <f t="shared" si="5"/>
        <v/>
      </c>
    </row>
    <row r="219" ht="15.75" customHeight="1">
      <c r="C219" s="12"/>
      <c r="I219" s="12" t="str">
        <f t="shared" si="6"/>
        <v/>
      </c>
      <c r="J219" s="12" t="str">
        <f t="shared" si="7"/>
        <v/>
      </c>
      <c r="K219" s="12" t="str">
        <f t="shared" si="8"/>
        <v/>
      </c>
      <c r="L219" s="12" t="str">
        <f t="shared" si="9"/>
        <v/>
      </c>
      <c r="M219" s="12" t="str">
        <f t="shared" si="5"/>
        <v/>
      </c>
    </row>
    <row r="220" ht="15.75" customHeight="1">
      <c r="C220" s="12"/>
      <c r="I220" s="12" t="str">
        <f t="shared" si="6"/>
        <v/>
      </c>
      <c r="J220" s="12" t="str">
        <f t="shared" si="7"/>
        <v/>
      </c>
      <c r="K220" s="12" t="str">
        <f t="shared" si="8"/>
        <v/>
      </c>
      <c r="L220" s="12" t="str">
        <f t="shared" si="9"/>
        <v/>
      </c>
      <c r="M220" s="12" t="str">
        <f t="shared" si="5"/>
        <v/>
      </c>
    </row>
    <row r="221" ht="15.75" customHeight="1">
      <c r="C221" s="12"/>
      <c r="I221" s="12" t="str">
        <f t="shared" si="6"/>
        <v/>
      </c>
      <c r="J221" s="12" t="str">
        <f t="shared" si="7"/>
        <v/>
      </c>
      <c r="K221" s="12" t="str">
        <f t="shared" si="8"/>
        <v/>
      </c>
      <c r="L221" s="12" t="str">
        <f t="shared" si="9"/>
        <v/>
      </c>
      <c r="M221" s="12" t="str">
        <f t="shared" si="5"/>
        <v/>
      </c>
    </row>
    <row r="222" ht="15.75" customHeight="1">
      <c r="C222" s="12"/>
      <c r="I222" s="12" t="str">
        <f t="shared" si="6"/>
        <v/>
      </c>
      <c r="J222" s="12" t="str">
        <f t="shared" si="7"/>
        <v/>
      </c>
      <c r="K222" s="12" t="str">
        <f t="shared" si="8"/>
        <v/>
      </c>
      <c r="L222" s="12" t="str">
        <f t="shared" si="9"/>
        <v/>
      </c>
      <c r="M222" s="12" t="str">
        <f t="shared" si="5"/>
        <v/>
      </c>
    </row>
    <row r="223" ht="15.75" customHeight="1">
      <c r="C223" s="12"/>
      <c r="I223" s="12" t="str">
        <f t="shared" si="6"/>
        <v/>
      </c>
      <c r="J223" s="12" t="str">
        <f t="shared" si="7"/>
        <v/>
      </c>
      <c r="K223" s="12" t="str">
        <f t="shared" si="8"/>
        <v/>
      </c>
      <c r="L223" s="12" t="str">
        <f t="shared" si="9"/>
        <v/>
      </c>
      <c r="M223" s="12" t="str">
        <f t="shared" si="5"/>
        <v/>
      </c>
    </row>
    <row r="224" ht="15.75" customHeight="1">
      <c r="C224" s="12"/>
      <c r="I224" s="12" t="str">
        <f t="shared" si="6"/>
        <v/>
      </c>
      <c r="J224" s="12" t="str">
        <f t="shared" si="7"/>
        <v/>
      </c>
      <c r="K224" s="12" t="str">
        <f t="shared" si="8"/>
        <v/>
      </c>
      <c r="L224" s="12" t="str">
        <f t="shared" si="9"/>
        <v/>
      </c>
      <c r="M224" s="12" t="str">
        <f t="shared" si="5"/>
        <v/>
      </c>
    </row>
    <row r="225" ht="15.75" customHeight="1">
      <c r="C225" s="12"/>
      <c r="I225" s="12" t="str">
        <f t="shared" si="6"/>
        <v/>
      </c>
      <c r="J225" s="12" t="str">
        <f t="shared" si="7"/>
        <v/>
      </c>
      <c r="K225" s="12" t="str">
        <f t="shared" si="8"/>
        <v/>
      </c>
      <c r="L225" s="12" t="str">
        <f t="shared" si="9"/>
        <v/>
      </c>
      <c r="M225" s="12" t="str">
        <f t="shared" si="5"/>
        <v/>
      </c>
    </row>
    <row r="226" ht="15.75" customHeight="1">
      <c r="C226" s="12"/>
      <c r="I226" s="12" t="str">
        <f t="shared" si="6"/>
        <v/>
      </c>
      <c r="J226" s="12" t="str">
        <f t="shared" si="7"/>
        <v/>
      </c>
      <c r="K226" s="12" t="str">
        <f t="shared" si="8"/>
        <v/>
      </c>
      <c r="L226" s="12" t="str">
        <f t="shared" si="9"/>
        <v/>
      </c>
      <c r="M226" s="12" t="str">
        <f t="shared" si="5"/>
        <v/>
      </c>
    </row>
    <row r="227" ht="15.75" customHeight="1">
      <c r="C227" s="12"/>
      <c r="I227" s="12" t="str">
        <f t="shared" si="6"/>
        <v/>
      </c>
      <c r="J227" s="12" t="str">
        <f t="shared" si="7"/>
        <v/>
      </c>
      <c r="K227" s="12" t="str">
        <f t="shared" si="8"/>
        <v/>
      </c>
      <c r="L227" s="12" t="str">
        <f t="shared" si="9"/>
        <v/>
      </c>
      <c r="M227" s="12" t="str">
        <f t="shared" si="5"/>
        <v/>
      </c>
    </row>
    <row r="228" ht="15.75" customHeight="1">
      <c r="C228" s="12"/>
      <c r="I228" s="12" t="str">
        <f t="shared" si="6"/>
        <v/>
      </c>
      <c r="J228" s="12" t="str">
        <f t="shared" si="7"/>
        <v/>
      </c>
      <c r="K228" s="12" t="str">
        <f t="shared" si="8"/>
        <v/>
      </c>
      <c r="L228" s="12" t="str">
        <f t="shared" si="9"/>
        <v/>
      </c>
      <c r="M228" s="12" t="str">
        <f t="shared" si="5"/>
        <v/>
      </c>
    </row>
    <row r="229" ht="15.75" customHeight="1">
      <c r="C229" s="12"/>
      <c r="I229" s="12" t="str">
        <f t="shared" si="6"/>
        <v/>
      </c>
      <c r="J229" s="12" t="str">
        <f t="shared" si="7"/>
        <v/>
      </c>
      <c r="K229" s="12" t="str">
        <f t="shared" si="8"/>
        <v/>
      </c>
      <c r="L229" s="12" t="str">
        <f t="shared" si="9"/>
        <v/>
      </c>
      <c r="M229" s="12" t="str">
        <f t="shared" si="5"/>
        <v/>
      </c>
    </row>
    <row r="230" ht="15.75" customHeight="1">
      <c r="C230" s="12"/>
      <c r="I230" s="12" t="str">
        <f t="shared" si="6"/>
        <v/>
      </c>
      <c r="J230" s="12" t="str">
        <f t="shared" si="7"/>
        <v/>
      </c>
      <c r="K230" s="12" t="str">
        <f t="shared" si="8"/>
        <v/>
      </c>
      <c r="L230" s="12" t="str">
        <f t="shared" si="9"/>
        <v/>
      </c>
      <c r="M230" s="12" t="str">
        <f t="shared" si="5"/>
        <v/>
      </c>
    </row>
    <row r="231" ht="15.75" customHeight="1">
      <c r="C231" s="12"/>
      <c r="I231" s="12" t="str">
        <f t="shared" si="6"/>
        <v/>
      </c>
      <c r="J231" s="12" t="str">
        <f t="shared" si="7"/>
        <v/>
      </c>
      <c r="K231" s="12" t="str">
        <f t="shared" si="8"/>
        <v/>
      </c>
      <c r="L231" s="12" t="str">
        <f t="shared" si="9"/>
        <v/>
      </c>
      <c r="M231" s="12" t="str">
        <f t="shared" si="5"/>
        <v/>
      </c>
    </row>
    <row r="232" ht="15.75" customHeight="1">
      <c r="C232" s="12"/>
      <c r="I232" s="12" t="str">
        <f t="shared" si="6"/>
        <v/>
      </c>
      <c r="J232" s="12" t="str">
        <f t="shared" si="7"/>
        <v/>
      </c>
      <c r="K232" s="12" t="str">
        <f t="shared" si="8"/>
        <v/>
      </c>
      <c r="L232" s="12" t="str">
        <f t="shared" si="9"/>
        <v/>
      </c>
      <c r="M232" s="12" t="str">
        <f t="shared" si="5"/>
        <v/>
      </c>
    </row>
    <row r="233" ht="15.75" customHeight="1">
      <c r="C233" s="12"/>
      <c r="I233" s="12" t="str">
        <f t="shared" si="6"/>
        <v/>
      </c>
      <c r="J233" s="12" t="str">
        <f t="shared" si="7"/>
        <v/>
      </c>
      <c r="K233" s="12" t="str">
        <f t="shared" si="8"/>
        <v/>
      </c>
      <c r="L233" s="12" t="str">
        <f t="shared" si="9"/>
        <v/>
      </c>
      <c r="M233" s="12" t="str">
        <f t="shared" si="5"/>
        <v/>
      </c>
    </row>
    <row r="234" ht="15.75" customHeight="1">
      <c r="C234" s="12"/>
      <c r="I234" s="12" t="str">
        <f t="shared" si="6"/>
        <v/>
      </c>
      <c r="J234" s="12" t="str">
        <f t="shared" si="7"/>
        <v/>
      </c>
      <c r="K234" s="12" t="str">
        <f t="shared" si="8"/>
        <v/>
      </c>
      <c r="L234" s="12" t="str">
        <f t="shared" si="9"/>
        <v/>
      </c>
      <c r="M234" s="12" t="str">
        <f t="shared" si="5"/>
        <v/>
      </c>
    </row>
    <row r="235" ht="15.75" customHeight="1">
      <c r="C235" s="12"/>
      <c r="I235" s="12" t="str">
        <f t="shared" si="6"/>
        <v/>
      </c>
      <c r="J235" s="12" t="str">
        <f t="shared" si="7"/>
        <v/>
      </c>
      <c r="K235" s="12" t="str">
        <f t="shared" si="8"/>
        <v/>
      </c>
      <c r="L235" s="12" t="str">
        <f t="shared" si="9"/>
        <v/>
      </c>
      <c r="M235" s="12" t="str">
        <f t="shared" si="5"/>
        <v/>
      </c>
    </row>
    <row r="236" ht="15.75" customHeight="1">
      <c r="C236" s="12"/>
      <c r="I236" s="12" t="str">
        <f t="shared" si="6"/>
        <v/>
      </c>
      <c r="J236" s="12" t="str">
        <f t="shared" si="7"/>
        <v/>
      </c>
      <c r="K236" s="12" t="str">
        <f t="shared" si="8"/>
        <v/>
      </c>
      <c r="L236" s="12" t="str">
        <f t="shared" si="9"/>
        <v/>
      </c>
      <c r="M236" s="12" t="str">
        <f t="shared" si="5"/>
        <v/>
      </c>
    </row>
    <row r="237" ht="15.75" customHeight="1">
      <c r="C237" s="12"/>
      <c r="I237" s="12" t="str">
        <f t="shared" si="6"/>
        <v/>
      </c>
      <c r="J237" s="12" t="str">
        <f t="shared" si="7"/>
        <v/>
      </c>
      <c r="K237" s="12" t="str">
        <f t="shared" si="8"/>
        <v/>
      </c>
      <c r="L237" s="12" t="str">
        <f t="shared" si="9"/>
        <v/>
      </c>
      <c r="M237" s="12" t="str">
        <f t="shared" si="5"/>
        <v/>
      </c>
    </row>
    <row r="238" ht="15.75" customHeight="1">
      <c r="C238" s="12"/>
      <c r="I238" s="12" t="str">
        <f t="shared" si="6"/>
        <v/>
      </c>
      <c r="J238" s="12" t="str">
        <f t="shared" si="7"/>
        <v/>
      </c>
      <c r="K238" s="12" t="str">
        <f t="shared" si="8"/>
        <v/>
      </c>
      <c r="L238" s="12" t="str">
        <f t="shared" si="9"/>
        <v/>
      </c>
      <c r="M238" s="12" t="str">
        <f t="shared" si="5"/>
        <v/>
      </c>
    </row>
    <row r="239" ht="15.75" customHeight="1">
      <c r="C239" s="12"/>
      <c r="I239" s="12" t="str">
        <f t="shared" si="6"/>
        <v/>
      </c>
      <c r="J239" s="12" t="str">
        <f t="shared" si="7"/>
        <v/>
      </c>
      <c r="K239" s="12" t="str">
        <f t="shared" si="8"/>
        <v/>
      </c>
      <c r="L239" s="12" t="str">
        <f t="shared" si="9"/>
        <v/>
      </c>
      <c r="M239" s="12" t="str">
        <f t="shared" si="5"/>
        <v/>
      </c>
    </row>
    <row r="240" ht="15.75" customHeight="1">
      <c r="C240" s="12"/>
      <c r="I240" s="12" t="str">
        <f t="shared" si="6"/>
        <v/>
      </c>
      <c r="J240" s="12" t="str">
        <f t="shared" si="7"/>
        <v/>
      </c>
      <c r="K240" s="12" t="str">
        <f t="shared" si="8"/>
        <v/>
      </c>
      <c r="L240" s="12" t="str">
        <f t="shared" si="9"/>
        <v/>
      </c>
      <c r="M240" s="12" t="str">
        <f t="shared" si="5"/>
        <v/>
      </c>
    </row>
    <row r="241" ht="15.75" customHeight="1">
      <c r="C241" s="12"/>
      <c r="I241" s="12" t="str">
        <f t="shared" si="6"/>
        <v/>
      </c>
      <c r="J241" s="12" t="str">
        <f t="shared" si="7"/>
        <v/>
      </c>
      <c r="K241" s="12" t="str">
        <f t="shared" si="8"/>
        <v/>
      </c>
      <c r="L241" s="12" t="str">
        <f t="shared" si="9"/>
        <v/>
      </c>
      <c r="M241" s="12" t="str">
        <f t="shared" si="5"/>
        <v/>
      </c>
    </row>
    <row r="242" ht="15.75" customHeight="1">
      <c r="C242" s="12"/>
      <c r="I242" s="12" t="str">
        <f t="shared" si="6"/>
        <v/>
      </c>
      <c r="J242" s="12" t="str">
        <f t="shared" si="7"/>
        <v/>
      </c>
      <c r="K242" s="12" t="str">
        <f t="shared" si="8"/>
        <v/>
      </c>
      <c r="L242" s="12" t="str">
        <f t="shared" si="9"/>
        <v/>
      </c>
      <c r="M242" s="12" t="str">
        <f t="shared" si="5"/>
        <v/>
      </c>
    </row>
    <row r="243" ht="15.75" customHeight="1">
      <c r="C243" s="12"/>
      <c r="I243" s="12" t="str">
        <f t="shared" si="6"/>
        <v/>
      </c>
      <c r="J243" s="12" t="str">
        <f t="shared" si="7"/>
        <v/>
      </c>
      <c r="K243" s="12" t="str">
        <f t="shared" si="8"/>
        <v/>
      </c>
      <c r="L243" s="12" t="str">
        <f t="shared" si="9"/>
        <v/>
      </c>
      <c r="M243" s="12" t="str">
        <f t="shared" si="5"/>
        <v/>
      </c>
    </row>
    <row r="244" ht="15.75" customHeight="1">
      <c r="C244" s="12"/>
      <c r="I244" s="12" t="str">
        <f t="shared" si="6"/>
        <v/>
      </c>
      <c r="J244" s="12" t="str">
        <f t="shared" si="7"/>
        <v/>
      </c>
      <c r="K244" s="12" t="str">
        <f t="shared" si="8"/>
        <v/>
      </c>
      <c r="L244" s="12" t="str">
        <f t="shared" si="9"/>
        <v/>
      </c>
      <c r="M244" s="12" t="str">
        <f t="shared" si="5"/>
        <v/>
      </c>
    </row>
    <row r="245" ht="15.75" customHeight="1">
      <c r="C245" s="12"/>
      <c r="I245" s="12" t="str">
        <f t="shared" si="6"/>
        <v/>
      </c>
      <c r="J245" s="12" t="str">
        <f t="shared" si="7"/>
        <v/>
      </c>
      <c r="K245" s="12" t="str">
        <f t="shared" si="8"/>
        <v/>
      </c>
      <c r="L245" s="12" t="str">
        <f t="shared" si="9"/>
        <v/>
      </c>
      <c r="M245" s="12" t="str">
        <f t="shared" si="5"/>
        <v/>
      </c>
    </row>
    <row r="246" ht="15.75" customHeight="1">
      <c r="C246" s="12"/>
      <c r="I246" s="12" t="str">
        <f t="shared" si="6"/>
        <v/>
      </c>
      <c r="J246" s="12" t="str">
        <f t="shared" si="7"/>
        <v/>
      </c>
      <c r="K246" s="12" t="str">
        <f t="shared" si="8"/>
        <v/>
      </c>
      <c r="L246" s="12" t="str">
        <f t="shared" si="9"/>
        <v/>
      </c>
      <c r="M246" s="12" t="str">
        <f t="shared" si="5"/>
        <v/>
      </c>
    </row>
    <row r="247" ht="15.75" customHeight="1">
      <c r="C247" s="12"/>
      <c r="I247" s="12" t="str">
        <f t="shared" si="6"/>
        <v/>
      </c>
      <c r="J247" s="12" t="str">
        <f t="shared" si="7"/>
        <v/>
      </c>
      <c r="K247" s="12" t="str">
        <f t="shared" si="8"/>
        <v/>
      </c>
      <c r="L247" s="12" t="str">
        <f t="shared" si="9"/>
        <v/>
      </c>
      <c r="M247" s="12" t="str">
        <f t="shared" si="5"/>
        <v/>
      </c>
    </row>
    <row r="248" ht="15.75" customHeight="1">
      <c r="C248" s="12"/>
      <c r="I248" s="12" t="str">
        <f t="shared" si="6"/>
        <v/>
      </c>
      <c r="J248" s="12" t="str">
        <f t="shared" si="7"/>
        <v/>
      </c>
      <c r="K248" s="12" t="str">
        <f t="shared" si="8"/>
        <v/>
      </c>
      <c r="L248" s="12" t="str">
        <f t="shared" si="9"/>
        <v/>
      </c>
      <c r="M248" s="12" t="str">
        <f t="shared" si="5"/>
        <v/>
      </c>
    </row>
    <row r="249" ht="15.75" customHeight="1">
      <c r="C249" s="12"/>
      <c r="I249" s="12" t="str">
        <f t="shared" si="6"/>
        <v/>
      </c>
      <c r="J249" s="12" t="str">
        <f t="shared" si="7"/>
        <v/>
      </c>
      <c r="K249" s="12" t="str">
        <f t="shared" si="8"/>
        <v/>
      </c>
      <c r="L249" s="12" t="str">
        <f t="shared" si="9"/>
        <v/>
      </c>
      <c r="M249" s="12" t="str">
        <f t="shared" si="5"/>
        <v/>
      </c>
    </row>
    <row r="250" ht="15.75" customHeight="1">
      <c r="C250" s="12"/>
      <c r="I250" s="12" t="str">
        <f t="shared" si="6"/>
        <v/>
      </c>
      <c r="J250" s="12" t="str">
        <f t="shared" si="7"/>
        <v/>
      </c>
      <c r="K250" s="12" t="str">
        <f t="shared" si="8"/>
        <v/>
      </c>
      <c r="L250" s="12" t="str">
        <f t="shared" si="9"/>
        <v/>
      </c>
      <c r="M250" s="12" t="str">
        <f t="shared" si="5"/>
        <v/>
      </c>
    </row>
    <row r="251" ht="15.75" customHeight="1">
      <c r="C251" s="12"/>
      <c r="I251" s="12" t="str">
        <f t="shared" si="6"/>
        <v/>
      </c>
      <c r="J251" s="12" t="str">
        <f t="shared" si="7"/>
        <v/>
      </c>
      <c r="K251" s="12" t="str">
        <f t="shared" si="8"/>
        <v/>
      </c>
      <c r="L251" s="12" t="str">
        <f t="shared" si="9"/>
        <v/>
      </c>
      <c r="M251" s="12" t="str">
        <f t="shared" si="5"/>
        <v/>
      </c>
    </row>
    <row r="252" ht="15.75" customHeight="1">
      <c r="C252" s="12"/>
      <c r="I252" s="12" t="str">
        <f t="shared" si="6"/>
        <v/>
      </c>
      <c r="J252" s="12" t="str">
        <f t="shared" si="7"/>
        <v/>
      </c>
      <c r="K252" s="12" t="str">
        <f t="shared" si="8"/>
        <v/>
      </c>
      <c r="L252" s="12" t="str">
        <f t="shared" si="9"/>
        <v/>
      </c>
      <c r="M252" s="12" t="str">
        <f t="shared" si="5"/>
        <v/>
      </c>
    </row>
    <row r="253" ht="15.75" customHeight="1">
      <c r="C253" s="12"/>
      <c r="I253" s="12" t="str">
        <f t="shared" si="6"/>
        <v/>
      </c>
      <c r="J253" s="12" t="str">
        <f t="shared" si="7"/>
        <v/>
      </c>
      <c r="K253" s="12" t="str">
        <f t="shared" si="8"/>
        <v/>
      </c>
      <c r="L253" s="12" t="str">
        <f t="shared" si="9"/>
        <v/>
      </c>
      <c r="M253" s="12" t="str">
        <f t="shared" si="5"/>
        <v/>
      </c>
    </row>
    <row r="254" ht="15.75" customHeight="1">
      <c r="C254" s="12"/>
      <c r="I254" s="12" t="str">
        <f t="shared" si="6"/>
        <v/>
      </c>
      <c r="J254" s="12" t="str">
        <f t="shared" si="7"/>
        <v/>
      </c>
      <c r="K254" s="12" t="str">
        <f t="shared" si="8"/>
        <v/>
      </c>
      <c r="L254" s="12" t="str">
        <f t="shared" si="9"/>
        <v/>
      </c>
      <c r="M254" s="12" t="str">
        <f t="shared" si="5"/>
        <v/>
      </c>
    </row>
    <row r="255" ht="15.75" customHeight="1">
      <c r="C255" s="12"/>
      <c r="I255" s="12" t="str">
        <f t="shared" si="6"/>
        <v/>
      </c>
      <c r="J255" s="12" t="str">
        <f t="shared" si="7"/>
        <v/>
      </c>
      <c r="K255" s="12" t="str">
        <f t="shared" si="8"/>
        <v/>
      </c>
      <c r="L255" s="12" t="str">
        <f t="shared" si="9"/>
        <v/>
      </c>
      <c r="M255" s="12" t="str">
        <f t="shared" si="5"/>
        <v/>
      </c>
    </row>
    <row r="256" ht="15.75" customHeight="1">
      <c r="C256" s="12"/>
      <c r="I256" s="12" t="str">
        <f t="shared" si="6"/>
        <v/>
      </c>
      <c r="J256" s="12" t="str">
        <f t="shared" si="7"/>
        <v/>
      </c>
      <c r="K256" s="12" t="str">
        <f t="shared" si="8"/>
        <v/>
      </c>
      <c r="L256" s="12" t="str">
        <f t="shared" si="9"/>
        <v/>
      </c>
      <c r="M256" s="12" t="str">
        <f t="shared" si="5"/>
        <v/>
      </c>
    </row>
    <row r="257" ht="15.75" customHeight="1">
      <c r="C257" s="12"/>
      <c r="I257" s="12" t="str">
        <f t="shared" si="6"/>
        <v/>
      </c>
      <c r="J257" s="12" t="str">
        <f t="shared" si="7"/>
        <v/>
      </c>
      <c r="K257" s="12" t="str">
        <f t="shared" si="8"/>
        <v/>
      </c>
      <c r="L257" s="12" t="str">
        <f t="shared" si="9"/>
        <v/>
      </c>
      <c r="M257" s="12" t="str">
        <f t="shared" si="5"/>
        <v/>
      </c>
    </row>
    <row r="258" ht="15.75" customHeight="1">
      <c r="C258" s="12"/>
      <c r="I258" s="12" t="str">
        <f t="shared" si="6"/>
        <v/>
      </c>
      <c r="J258" s="12" t="str">
        <f t="shared" si="7"/>
        <v/>
      </c>
      <c r="K258" s="12" t="str">
        <f t="shared" si="8"/>
        <v/>
      </c>
      <c r="L258" s="12" t="str">
        <f t="shared" si="9"/>
        <v/>
      </c>
      <c r="M258" s="12" t="str">
        <f t="shared" si="5"/>
        <v/>
      </c>
    </row>
    <row r="259" ht="15.75" customHeight="1">
      <c r="C259" s="12"/>
      <c r="I259" s="12" t="str">
        <f t="shared" si="6"/>
        <v/>
      </c>
      <c r="J259" s="12" t="str">
        <f t="shared" si="7"/>
        <v/>
      </c>
      <c r="K259" s="12" t="str">
        <f t="shared" si="8"/>
        <v/>
      </c>
      <c r="L259" s="12" t="str">
        <f t="shared" si="9"/>
        <v/>
      </c>
      <c r="M259" s="12" t="str">
        <f t="shared" si="5"/>
        <v/>
      </c>
    </row>
    <row r="260" ht="15.75" customHeight="1">
      <c r="C260" s="12"/>
      <c r="I260" s="12" t="str">
        <f t="shared" si="6"/>
        <v/>
      </c>
      <c r="J260" s="12" t="str">
        <f t="shared" si="7"/>
        <v/>
      </c>
      <c r="K260" s="12" t="str">
        <f t="shared" si="8"/>
        <v/>
      </c>
      <c r="L260" s="12" t="str">
        <f t="shared" si="9"/>
        <v/>
      </c>
      <c r="M260" s="12" t="str">
        <f t="shared" si="5"/>
        <v/>
      </c>
    </row>
    <row r="261" ht="15.75" customHeight="1">
      <c r="C261" s="12"/>
      <c r="I261" s="12" t="str">
        <f t="shared" si="6"/>
        <v/>
      </c>
      <c r="J261" s="12" t="str">
        <f t="shared" si="7"/>
        <v/>
      </c>
      <c r="K261" s="12" t="str">
        <f t="shared" si="8"/>
        <v/>
      </c>
      <c r="L261" s="12" t="str">
        <f t="shared" si="9"/>
        <v/>
      </c>
      <c r="M261" s="12" t="str">
        <f t="shared" si="5"/>
        <v/>
      </c>
    </row>
    <row r="262" ht="15.75" customHeight="1">
      <c r="C262" s="12"/>
      <c r="I262" s="12" t="str">
        <f t="shared" si="6"/>
        <v/>
      </c>
      <c r="J262" s="12" t="str">
        <f t="shared" si="7"/>
        <v/>
      </c>
      <c r="K262" s="12" t="str">
        <f t="shared" si="8"/>
        <v/>
      </c>
      <c r="L262" s="12" t="str">
        <f t="shared" si="9"/>
        <v/>
      </c>
      <c r="M262" s="12" t="str">
        <f t="shared" si="5"/>
        <v/>
      </c>
    </row>
    <row r="263" ht="15.75" customHeight="1">
      <c r="C263" s="12"/>
      <c r="I263" s="12" t="str">
        <f t="shared" si="6"/>
        <v/>
      </c>
      <c r="J263" s="12" t="str">
        <f t="shared" si="7"/>
        <v/>
      </c>
      <c r="K263" s="12" t="str">
        <f t="shared" si="8"/>
        <v/>
      </c>
      <c r="L263" s="12" t="str">
        <f t="shared" si="9"/>
        <v/>
      </c>
      <c r="M263" s="12" t="str">
        <f t="shared" si="5"/>
        <v/>
      </c>
    </row>
    <row r="264" ht="15.75" customHeight="1">
      <c r="C264" s="12"/>
      <c r="I264" s="12" t="str">
        <f t="shared" si="6"/>
        <v/>
      </c>
      <c r="J264" s="12" t="str">
        <f t="shared" si="7"/>
        <v/>
      </c>
      <c r="K264" s="12" t="str">
        <f t="shared" si="8"/>
        <v/>
      </c>
      <c r="L264" s="12" t="str">
        <f t="shared" si="9"/>
        <v/>
      </c>
      <c r="M264" s="12" t="str">
        <f t="shared" si="5"/>
        <v/>
      </c>
    </row>
    <row r="265" ht="15.75" customHeight="1">
      <c r="C265" s="12"/>
      <c r="I265" s="12" t="str">
        <f t="shared" si="6"/>
        <v/>
      </c>
      <c r="J265" s="12" t="str">
        <f t="shared" si="7"/>
        <v/>
      </c>
      <c r="K265" s="12" t="str">
        <f t="shared" si="8"/>
        <v/>
      </c>
      <c r="L265" s="12" t="str">
        <f t="shared" si="9"/>
        <v/>
      </c>
      <c r="M265" s="12" t="str">
        <f t="shared" si="5"/>
        <v/>
      </c>
    </row>
    <row r="266" ht="15.75" customHeight="1">
      <c r="C266" s="12"/>
      <c r="I266" s="12" t="str">
        <f t="shared" si="6"/>
        <v/>
      </c>
      <c r="J266" s="12" t="str">
        <f t="shared" si="7"/>
        <v/>
      </c>
      <c r="K266" s="12" t="str">
        <f t="shared" si="8"/>
        <v/>
      </c>
      <c r="L266" s="12" t="str">
        <f t="shared" si="9"/>
        <v/>
      </c>
      <c r="M266" s="12" t="str">
        <f t="shared" si="5"/>
        <v/>
      </c>
    </row>
    <row r="267" ht="15.75" customHeight="1">
      <c r="C267" s="12"/>
      <c r="I267" s="12" t="str">
        <f t="shared" si="6"/>
        <v/>
      </c>
      <c r="J267" s="12" t="str">
        <f t="shared" si="7"/>
        <v/>
      </c>
      <c r="K267" s="12" t="str">
        <f t="shared" si="8"/>
        <v/>
      </c>
      <c r="L267" s="12" t="str">
        <f t="shared" si="9"/>
        <v/>
      </c>
      <c r="M267" s="12" t="str">
        <f t="shared" si="5"/>
        <v/>
      </c>
    </row>
    <row r="268" ht="15.75" customHeight="1">
      <c r="C268" s="12"/>
      <c r="I268" s="12" t="str">
        <f t="shared" si="6"/>
        <v/>
      </c>
      <c r="J268" s="12" t="str">
        <f t="shared" si="7"/>
        <v/>
      </c>
      <c r="K268" s="12" t="str">
        <f t="shared" si="8"/>
        <v/>
      </c>
      <c r="L268" s="12" t="str">
        <f t="shared" si="9"/>
        <v/>
      </c>
      <c r="M268" s="12" t="str">
        <f t="shared" si="5"/>
        <v/>
      </c>
    </row>
    <row r="269" ht="15.75" customHeight="1">
      <c r="C269" s="12"/>
      <c r="I269" s="12" t="str">
        <f t="shared" si="6"/>
        <v/>
      </c>
      <c r="J269" s="12" t="str">
        <f t="shared" si="7"/>
        <v/>
      </c>
      <c r="K269" s="12" t="str">
        <f t="shared" si="8"/>
        <v/>
      </c>
      <c r="L269" s="12" t="str">
        <f t="shared" si="9"/>
        <v/>
      </c>
      <c r="M269" s="12" t="str">
        <f t="shared" si="5"/>
        <v/>
      </c>
    </row>
    <row r="270" ht="15.75" customHeight="1">
      <c r="C270" s="12"/>
      <c r="I270" s="12" t="str">
        <f t="shared" si="6"/>
        <v/>
      </c>
      <c r="J270" s="12" t="str">
        <f t="shared" si="7"/>
        <v/>
      </c>
      <c r="K270" s="12" t="str">
        <f t="shared" si="8"/>
        <v/>
      </c>
      <c r="L270" s="12" t="str">
        <f t="shared" si="9"/>
        <v/>
      </c>
      <c r="M270" s="12" t="str">
        <f t="shared" si="5"/>
        <v/>
      </c>
    </row>
    <row r="271" ht="15.75" customHeight="1">
      <c r="C271" s="12"/>
      <c r="I271" s="12" t="str">
        <f t="shared" si="6"/>
        <v/>
      </c>
      <c r="J271" s="12" t="str">
        <f t="shared" si="7"/>
        <v/>
      </c>
      <c r="K271" s="12" t="str">
        <f t="shared" si="8"/>
        <v/>
      </c>
      <c r="L271" s="12" t="str">
        <f t="shared" si="9"/>
        <v/>
      </c>
      <c r="M271" s="12" t="str">
        <f t="shared" si="5"/>
        <v/>
      </c>
    </row>
    <row r="272" ht="15.75" customHeight="1">
      <c r="C272" s="12"/>
      <c r="I272" s="12" t="str">
        <f t="shared" si="6"/>
        <v/>
      </c>
      <c r="J272" s="12" t="str">
        <f t="shared" si="7"/>
        <v/>
      </c>
      <c r="K272" s="12" t="str">
        <f t="shared" si="8"/>
        <v/>
      </c>
      <c r="L272" s="12" t="str">
        <f t="shared" si="9"/>
        <v/>
      </c>
      <c r="M272" s="12" t="str">
        <f t="shared" si="5"/>
        <v/>
      </c>
    </row>
    <row r="273" ht="15.75" customHeight="1">
      <c r="C273" s="12"/>
      <c r="I273" s="12" t="str">
        <f t="shared" si="6"/>
        <v/>
      </c>
      <c r="J273" s="12" t="str">
        <f t="shared" si="7"/>
        <v/>
      </c>
      <c r="K273" s="12" t="str">
        <f t="shared" si="8"/>
        <v/>
      </c>
      <c r="L273" s="12" t="str">
        <f t="shared" si="9"/>
        <v/>
      </c>
      <c r="M273" s="12" t="str">
        <f t="shared" si="5"/>
        <v/>
      </c>
    </row>
    <row r="274" ht="15.75" customHeight="1">
      <c r="C274" s="12"/>
      <c r="I274" s="12" t="str">
        <f t="shared" si="6"/>
        <v/>
      </c>
      <c r="J274" s="12" t="str">
        <f t="shared" si="7"/>
        <v/>
      </c>
      <c r="K274" s="12" t="str">
        <f t="shared" si="8"/>
        <v/>
      </c>
      <c r="L274" s="12" t="str">
        <f t="shared" si="9"/>
        <v/>
      </c>
      <c r="M274" s="12" t="str">
        <f t="shared" si="5"/>
        <v/>
      </c>
    </row>
    <row r="275" ht="15.75" customHeight="1">
      <c r="C275" s="12"/>
      <c r="I275" s="12" t="str">
        <f t="shared" si="6"/>
        <v/>
      </c>
      <c r="J275" s="12" t="str">
        <f t="shared" si="7"/>
        <v/>
      </c>
      <c r="K275" s="12" t="str">
        <f t="shared" si="8"/>
        <v/>
      </c>
      <c r="L275" s="12" t="str">
        <f t="shared" si="9"/>
        <v/>
      </c>
      <c r="M275" s="12" t="str">
        <f t="shared" si="5"/>
        <v/>
      </c>
    </row>
    <row r="276" ht="15.75" customHeight="1">
      <c r="C276" s="12"/>
      <c r="I276" s="12" t="str">
        <f t="shared" si="6"/>
        <v/>
      </c>
      <c r="J276" s="12" t="str">
        <f t="shared" si="7"/>
        <v/>
      </c>
      <c r="K276" s="12" t="str">
        <f t="shared" si="8"/>
        <v/>
      </c>
      <c r="L276" s="12" t="str">
        <f t="shared" si="9"/>
        <v/>
      </c>
      <c r="M276" s="12" t="str">
        <f t="shared" si="5"/>
        <v/>
      </c>
    </row>
    <row r="277" ht="15.75" customHeight="1">
      <c r="C277" s="12"/>
      <c r="I277" s="12" t="str">
        <f t="shared" si="6"/>
        <v/>
      </c>
      <c r="J277" s="12" t="str">
        <f t="shared" si="7"/>
        <v/>
      </c>
      <c r="K277" s="12" t="str">
        <f t="shared" si="8"/>
        <v/>
      </c>
      <c r="L277" s="12" t="str">
        <f t="shared" si="9"/>
        <v/>
      </c>
      <c r="M277" s="12" t="str">
        <f t="shared" si="5"/>
        <v/>
      </c>
    </row>
    <row r="278" ht="15.75" customHeight="1">
      <c r="C278" s="12"/>
      <c r="I278" s="12" t="str">
        <f t="shared" si="6"/>
        <v/>
      </c>
      <c r="J278" s="12" t="str">
        <f t="shared" si="7"/>
        <v/>
      </c>
      <c r="K278" s="12" t="str">
        <f t="shared" si="8"/>
        <v/>
      </c>
      <c r="L278" s="12" t="str">
        <f t="shared" si="9"/>
        <v/>
      </c>
      <c r="M278" s="12" t="str">
        <f t="shared" si="5"/>
        <v/>
      </c>
    </row>
    <row r="279" ht="15.75" customHeight="1">
      <c r="C279" s="12"/>
      <c r="I279" s="12" t="str">
        <f t="shared" si="6"/>
        <v/>
      </c>
      <c r="J279" s="12" t="str">
        <f t="shared" si="7"/>
        <v/>
      </c>
      <c r="K279" s="12" t="str">
        <f t="shared" si="8"/>
        <v/>
      </c>
      <c r="L279" s="12" t="str">
        <f t="shared" si="9"/>
        <v/>
      </c>
      <c r="M279" s="12" t="str">
        <f t="shared" si="5"/>
        <v/>
      </c>
    </row>
    <row r="280" ht="15.75" customHeight="1">
      <c r="C280" s="12"/>
      <c r="I280" s="12" t="str">
        <f t="shared" si="6"/>
        <v/>
      </c>
      <c r="J280" s="12" t="str">
        <f t="shared" si="7"/>
        <v/>
      </c>
      <c r="K280" s="12" t="str">
        <f t="shared" si="8"/>
        <v/>
      </c>
      <c r="L280" s="12" t="str">
        <f t="shared" si="9"/>
        <v/>
      </c>
      <c r="M280" s="12" t="str">
        <f t="shared" si="5"/>
        <v/>
      </c>
    </row>
    <row r="281" ht="15.75" customHeight="1">
      <c r="C281" s="12"/>
      <c r="I281" s="12" t="str">
        <f t="shared" si="6"/>
        <v/>
      </c>
      <c r="J281" s="12" t="str">
        <f t="shared" si="7"/>
        <v/>
      </c>
      <c r="K281" s="12" t="str">
        <f t="shared" si="8"/>
        <v/>
      </c>
      <c r="L281" s="12" t="str">
        <f t="shared" si="9"/>
        <v/>
      </c>
      <c r="M281" s="12" t="str">
        <f t="shared" si="5"/>
        <v/>
      </c>
    </row>
    <row r="282" ht="15.75" customHeight="1">
      <c r="C282" s="12"/>
      <c r="I282" s="12" t="str">
        <f t="shared" si="6"/>
        <v/>
      </c>
      <c r="J282" s="12" t="str">
        <f t="shared" si="7"/>
        <v/>
      </c>
      <c r="K282" s="12" t="str">
        <f t="shared" si="8"/>
        <v/>
      </c>
      <c r="L282" s="12" t="str">
        <f t="shared" si="9"/>
        <v/>
      </c>
      <c r="M282" s="12" t="str">
        <f t="shared" si="5"/>
        <v/>
      </c>
    </row>
    <row r="283" ht="15.75" customHeight="1">
      <c r="C283" s="12"/>
      <c r="I283" s="12" t="str">
        <f t="shared" si="6"/>
        <v/>
      </c>
      <c r="J283" s="12" t="str">
        <f t="shared" si="7"/>
        <v/>
      </c>
      <c r="K283" s="12" t="str">
        <f t="shared" si="8"/>
        <v/>
      </c>
      <c r="L283" s="12" t="str">
        <f t="shared" si="9"/>
        <v/>
      </c>
      <c r="M283" s="12" t="str">
        <f t="shared" si="5"/>
        <v/>
      </c>
    </row>
    <row r="284" ht="15.75" customHeight="1">
      <c r="C284" s="12"/>
      <c r="I284" s="12" t="str">
        <f t="shared" si="6"/>
        <v/>
      </c>
      <c r="J284" s="12" t="str">
        <f t="shared" si="7"/>
        <v/>
      </c>
      <c r="K284" s="12" t="str">
        <f t="shared" si="8"/>
        <v/>
      </c>
      <c r="L284" s="12" t="str">
        <f t="shared" si="9"/>
        <v/>
      </c>
      <c r="M284" s="12" t="str">
        <f t="shared" si="5"/>
        <v/>
      </c>
    </row>
    <row r="285" ht="15.75" customHeight="1">
      <c r="C285" s="12"/>
      <c r="I285" s="12" t="str">
        <f t="shared" si="6"/>
        <v/>
      </c>
      <c r="J285" s="12" t="str">
        <f t="shared" si="7"/>
        <v/>
      </c>
      <c r="K285" s="12" t="str">
        <f t="shared" si="8"/>
        <v/>
      </c>
      <c r="L285" s="12" t="str">
        <f t="shared" si="9"/>
        <v/>
      </c>
      <c r="M285" s="12" t="str">
        <f t="shared" si="5"/>
        <v/>
      </c>
    </row>
    <row r="286" ht="15.75" customHeight="1">
      <c r="C286" s="12"/>
      <c r="I286" s="12" t="str">
        <f t="shared" si="6"/>
        <v/>
      </c>
      <c r="J286" s="12" t="str">
        <f t="shared" si="7"/>
        <v/>
      </c>
      <c r="K286" s="12" t="str">
        <f t="shared" si="8"/>
        <v/>
      </c>
      <c r="L286" s="12" t="str">
        <f t="shared" si="9"/>
        <v/>
      </c>
      <c r="M286" s="12" t="str">
        <f t="shared" si="5"/>
        <v/>
      </c>
    </row>
    <row r="287" ht="15.75" customHeight="1">
      <c r="C287" s="12"/>
      <c r="I287" s="12" t="str">
        <f t="shared" si="6"/>
        <v/>
      </c>
      <c r="J287" s="12" t="str">
        <f t="shared" si="7"/>
        <v/>
      </c>
      <c r="K287" s="12" t="str">
        <f t="shared" si="8"/>
        <v/>
      </c>
      <c r="L287" s="12" t="str">
        <f t="shared" si="9"/>
        <v/>
      </c>
      <c r="M287" s="12" t="str">
        <f t="shared" si="5"/>
        <v/>
      </c>
    </row>
    <row r="288" ht="15.75" customHeight="1">
      <c r="C288" s="12"/>
      <c r="I288" s="12" t="str">
        <f t="shared" si="6"/>
        <v/>
      </c>
      <c r="J288" s="12" t="str">
        <f t="shared" si="7"/>
        <v/>
      </c>
      <c r="K288" s="12" t="str">
        <f t="shared" si="8"/>
        <v/>
      </c>
      <c r="L288" s="12" t="str">
        <f t="shared" si="9"/>
        <v/>
      </c>
      <c r="M288" s="12" t="str">
        <f t="shared" si="5"/>
        <v/>
      </c>
    </row>
    <row r="289" ht="15.75" customHeight="1">
      <c r="C289" s="12"/>
      <c r="I289" s="12" t="str">
        <f t="shared" si="6"/>
        <v/>
      </c>
      <c r="J289" s="12" t="str">
        <f t="shared" si="7"/>
        <v/>
      </c>
      <c r="K289" s="12" t="str">
        <f t="shared" si="8"/>
        <v/>
      </c>
      <c r="L289" s="12" t="str">
        <f t="shared" si="9"/>
        <v/>
      </c>
      <c r="M289" s="12" t="str">
        <f t="shared" si="5"/>
        <v/>
      </c>
    </row>
    <row r="290" ht="15.75" customHeight="1">
      <c r="C290" s="12"/>
      <c r="I290" s="12" t="str">
        <f t="shared" si="6"/>
        <v/>
      </c>
      <c r="J290" s="12" t="str">
        <f t="shared" si="7"/>
        <v/>
      </c>
      <c r="K290" s="12" t="str">
        <f t="shared" si="8"/>
        <v/>
      </c>
      <c r="L290" s="12" t="str">
        <f t="shared" si="9"/>
        <v/>
      </c>
      <c r="M290" s="12" t="str">
        <f t="shared" si="5"/>
        <v/>
      </c>
    </row>
    <row r="291" ht="15.75" customHeight="1">
      <c r="C291" s="12"/>
      <c r="I291" s="12" t="str">
        <f t="shared" si="6"/>
        <v/>
      </c>
      <c r="J291" s="12" t="str">
        <f t="shared" si="7"/>
        <v/>
      </c>
      <c r="K291" s="12" t="str">
        <f t="shared" si="8"/>
        <v/>
      </c>
      <c r="L291" s="12" t="str">
        <f t="shared" si="9"/>
        <v/>
      </c>
      <c r="M291" s="12" t="str">
        <f t="shared" si="5"/>
        <v/>
      </c>
    </row>
    <row r="292" ht="15.75" customHeight="1">
      <c r="C292" s="12"/>
      <c r="I292" s="12" t="str">
        <f t="shared" si="6"/>
        <v/>
      </c>
      <c r="J292" s="12" t="str">
        <f t="shared" si="7"/>
        <v/>
      </c>
      <c r="K292" s="12" t="str">
        <f t="shared" si="8"/>
        <v/>
      </c>
      <c r="L292" s="12" t="str">
        <f t="shared" si="9"/>
        <v/>
      </c>
      <c r="M292" s="12" t="str">
        <f t="shared" si="5"/>
        <v/>
      </c>
    </row>
    <row r="293" ht="15.75" customHeight="1">
      <c r="C293" s="12"/>
      <c r="I293" s="12" t="str">
        <f t="shared" si="6"/>
        <v/>
      </c>
      <c r="J293" s="12" t="str">
        <f t="shared" si="7"/>
        <v/>
      </c>
      <c r="K293" s="12" t="str">
        <f t="shared" si="8"/>
        <v/>
      </c>
      <c r="L293" s="12" t="str">
        <f t="shared" si="9"/>
        <v/>
      </c>
      <c r="M293" s="12" t="str">
        <f t="shared" si="5"/>
        <v/>
      </c>
    </row>
    <row r="294" ht="15.75" customHeight="1">
      <c r="C294" s="12"/>
      <c r="I294" s="12" t="str">
        <f t="shared" si="6"/>
        <v/>
      </c>
      <c r="J294" s="12" t="str">
        <f t="shared" si="7"/>
        <v/>
      </c>
      <c r="K294" s="12" t="str">
        <f t="shared" si="8"/>
        <v/>
      </c>
      <c r="L294" s="12" t="str">
        <f t="shared" si="9"/>
        <v/>
      </c>
      <c r="M294" s="12" t="str">
        <f t="shared" si="5"/>
        <v/>
      </c>
    </row>
    <row r="295" ht="15.75" customHeight="1">
      <c r="C295" s="12"/>
      <c r="I295" s="12" t="str">
        <f t="shared" si="6"/>
        <v/>
      </c>
      <c r="J295" s="12" t="str">
        <f t="shared" si="7"/>
        <v/>
      </c>
      <c r="K295" s="12" t="str">
        <f t="shared" si="8"/>
        <v/>
      </c>
      <c r="L295" s="12" t="str">
        <f t="shared" si="9"/>
        <v/>
      </c>
      <c r="M295" s="12" t="str">
        <f t="shared" si="5"/>
        <v/>
      </c>
    </row>
    <row r="296" ht="15.75" customHeight="1">
      <c r="C296" s="12"/>
      <c r="I296" s="12" t="str">
        <f t="shared" si="6"/>
        <v/>
      </c>
      <c r="J296" s="12" t="str">
        <f t="shared" si="7"/>
        <v/>
      </c>
      <c r="K296" s="12" t="str">
        <f t="shared" si="8"/>
        <v/>
      </c>
      <c r="L296" s="12" t="str">
        <f t="shared" si="9"/>
        <v/>
      </c>
      <c r="M296" s="12" t="str">
        <f t="shared" si="5"/>
        <v/>
      </c>
    </row>
    <row r="297" ht="15.75" customHeight="1">
      <c r="C297" s="12"/>
      <c r="I297" s="12" t="str">
        <f t="shared" si="6"/>
        <v/>
      </c>
      <c r="J297" s="12" t="str">
        <f t="shared" si="7"/>
        <v/>
      </c>
      <c r="K297" s="12" t="str">
        <f t="shared" si="8"/>
        <v/>
      </c>
      <c r="L297" s="12" t="str">
        <f t="shared" si="9"/>
        <v/>
      </c>
      <c r="M297" s="12" t="str">
        <f t="shared" si="5"/>
        <v/>
      </c>
    </row>
    <row r="298" ht="15.75" customHeight="1">
      <c r="C298" s="12"/>
      <c r="I298" s="12" t="str">
        <f t="shared" si="6"/>
        <v/>
      </c>
      <c r="J298" s="12" t="str">
        <f t="shared" si="7"/>
        <v/>
      </c>
      <c r="K298" s="12" t="str">
        <f t="shared" si="8"/>
        <v/>
      </c>
      <c r="L298" s="12" t="str">
        <f t="shared" si="9"/>
        <v/>
      </c>
      <c r="M298" s="12" t="str">
        <f t="shared" si="5"/>
        <v/>
      </c>
    </row>
    <row r="299" ht="15.75" customHeight="1">
      <c r="C299" s="12"/>
      <c r="I299" s="12" t="str">
        <f t="shared" si="6"/>
        <v/>
      </c>
      <c r="J299" s="12" t="str">
        <f t="shared" si="7"/>
        <v/>
      </c>
      <c r="K299" s="12" t="str">
        <f t="shared" si="8"/>
        <v/>
      </c>
      <c r="L299" s="12" t="str">
        <f t="shared" si="9"/>
        <v/>
      </c>
      <c r="M299" s="12" t="str">
        <f t="shared" si="5"/>
        <v/>
      </c>
    </row>
    <row r="300" ht="15.75" customHeight="1">
      <c r="C300" s="12"/>
      <c r="I300" s="12" t="str">
        <f t="shared" si="6"/>
        <v/>
      </c>
      <c r="J300" s="12" t="str">
        <f t="shared" si="7"/>
        <v/>
      </c>
      <c r="K300" s="12" t="str">
        <f t="shared" si="8"/>
        <v/>
      </c>
      <c r="L300" s="12" t="str">
        <f t="shared" si="9"/>
        <v/>
      </c>
      <c r="M300" s="12" t="str">
        <f t="shared" si="5"/>
        <v/>
      </c>
    </row>
    <row r="301" ht="15.75" customHeight="1">
      <c r="C301" s="12"/>
      <c r="I301" s="12" t="str">
        <f t="shared" si="6"/>
        <v/>
      </c>
      <c r="J301" s="12" t="str">
        <f t="shared" si="7"/>
        <v/>
      </c>
      <c r="K301" s="12" t="str">
        <f t="shared" si="8"/>
        <v/>
      </c>
      <c r="L301" s="12" t="str">
        <f t="shared" si="9"/>
        <v/>
      </c>
      <c r="M301" s="12" t="str">
        <f t="shared" si="5"/>
        <v/>
      </c>
    </row>
    <row r="302" ht="15.75" customHeight="1">
      <c r="C302" s="12"/>
      <c r="I302" s="12" t="str">
        <f t="shared" si="6"/>
        <v/>
      </c>
      <c r="J302" s="12" t="str">
        <f t="shared" si="7"/>
        <v/>
      </c>
      <c r="K302" s="12" t="str">
        <f t="shared" si="8"/>
        <v/>
      </c>
      <c r="L302" s="12" t="str">
        <f t="shared" si="9"/>
        <v/>
      </c>
      <c r="M302" s="12" t="str">
        <f t="shared" si="5"/>
        <v/>
      </c>
    </row>
    <row r="303" ht="15.75" customHeight="1">
      <c r="C303" s="12"/>
      <c r="I303" s="12" t="str">
        <f t="shared" si="6"/>
        <v/>
      </c>
      <c r="J303" s="12" t="str">
        <f t="shared" si="7"/>
        <v/>
      </c>
      <c r="K303" s="12" t="str">
        <f t="shared" si="8"/>
        <v/>
      </c>
      <c r="L303" s="12" t="str">
        <f t="shared" si="9"/>
        <v/>
      </c>
      <c r="M303" s="12" t="str">
        <f t="shared" si="5"/>
        <v/>
      </c>
    </row>
    <row r="304" ht="15.75" customHeight="1">
      <c r="C304" s="12"/>
      <c r="I304" s="12" t="str">
        <f t="shared" si="6"/>
        <v/>
      </c>
      <c r="J304" s="12" t="str">
        <f t="shared" si="7"/>
        <v/>
      </c>
      <c r="K304" s="12" t="str">
        <f t="shared" si="8"/>
        <v/>
      </c>
      <c r="L304" s="12" t="str">
        <f t="shared" si="9"/>
        <v/>
      </c>
      <c r="M304" s="12" t="str">
        <f t="shared" si="5"/>
        <v/>
      </c>
    </row>
    <row r="305" ht="15.75" customHeight="1">
      <c r="C305" s="12"/>
      <c r="I305" s="12" t="str">
        <f t="shared" si="6"/>
        <v/>
      </c>
      <c r="J305" s="12" t="str">
        <f t="shared" si="7"/>
        <v/>
      </c>
      <c r="K305" s="12" t="str">
        <f t="shared" si="8"/>
        <v/>
      </c>
      <c r="L305" s="12" t="str">
        <f t="shared" si="9"/>
        <v/>
      </c>
      <c r="M305" s="12" t="str">
        <f t="shared" si="5"/>
        <v/>
      </c>
    </row>
    <row r="306" ht="15.75" customHeight="1">
      <c r="C306" s="12"/>
      <c r="I306" s="12" t="str">
        <f t="shared" si="6"/>
        <v/>
      </c>
      <c r="J306" s="12" t="str">
        <f t="shared" si="7"/>
        <v/>
      </c>
      <c r="K306" s="12" t="str">
        <f t="shared" si="8"/>
        <v/>
      </c>
      <c r="L306" s="12" t="str">
        <f t="shared" si="9"/>
        <v/>
      </c>
      <c r="M306" s="12" t="str">
        <f t="shared" si="5"/>
        <v/>
      </c>
    </row>
    <row r="307" ht="15.75" customHeight="1">
      <c r="C307" s="12"/>
      <c r="I307" s="12" t="str">
        <f t="shared" si="6"/>
        <v/>
      </c>
      <c r="J307" s="12" t="str">
        <f t="shared" si="7"/>
        <v/>
      </c>
      <c r="K307" s="12" t="str">
        <f t="shared" si="8"/>
        <v/>
      </c>
      <c r="L307" s="12" t="str">
        <f t="shared" si="9"/>
        <v/>
      </c>
      <c r="M307" s="12" t="str">
        <f t="shared" si="5"/>
        <v/>
      </c>
    </row>
    <row r="308" ht="15.75" customHeight="1">
      <c r="C308" s="12"/>
      <c r="I308" s="12" t="str">
        <f t="shared" si="6"/>
        <v/>
      </c>
      <c r="J308" s="12" t="str">
        <f t="shared" si="7"/>
        <v/>
      </c>
      <c r="K308" s="12" t="str">
        <f t="shared" si="8"/>
        <v/>
      </c>
      <c r="L308" s="12" t="str">
        <f t="shared" si="9"/>
        <v/>
      </c>
      <c r="M308" s="12" t="str">
        <f t="shared" si="5"/>
        <v/>
      </c>
    </row>
    <row r="309" ht="15.75" customHeight="1">
      <c r="C309" s="12"/>
      <c r="I309" s="12" t="str">
        <f t="shared" si="6"/>
        <v/>
      </c>
      <c r="J309" s="12" t="str">
        <f t="shared" si="7"/>
        <v/>
      </c>
      <c r="K309" s="12" t="str">
        <f t="shared" si="8"/>
        <v/>
      </c>
      <c r="L309" s="12" t="str">
        <f t="shared" si="9"/>
        <v/>
      </c>
      <c r="M309" s="12" t="str">
        <f t="shared" si="5"/>
        <v/>
      </c>
    </row>
    <row r="310" ht="15.75" customHeight="1">
      <c r="C310" s="12"/>
      <c r="I310" s="12" t="str">
        <f t="shared" si="6"/>
        <v/>
      </c>
      <c r="J310" s="12" t="str">
        <f t="shared" si="7"/>
        <v/>
      </c>
      <c r="K310" s="12" t="str">
        <f t="shared" si="8"/>
        <v/>
      </c>
      <c r="L310" s="12" t="str">
        <f t="shared" si="9"/>
        <v/>
      </c>
      <c r="M310" s="12" t="str">
        <f t="shared" si="5"/>
        <v/>
      </c>
    </row>
    <row r="311" ht="15.75" customHeight="1">
      <c r="C311" s="12"/>
      <c r="I311" s="12" t="str">
        <f t="shared" si="6"/>
        <v/>
      </c>
      <c r="J311" s="12" t="str">
        <f t="shared" si="7"/>
        <v/>
      </c>
      <c r="K311" s="12" t="str">
        <f t="shared" si="8"/>
        <v/>
      </c>
      <c r="L311" s="12" t="str">
        <f t="shared" si="9"/>
        <v/>
      </c>
      <c r="M311" s="12" t="str">
        <f t="shared" si="5"/>
        <v/>
      </c>
    </row>
    <row r="312" ht="15.75" customHeight="1">
      <c r="C312" s="12"/>
      <c r="I312" s="12" t="str">
        <f t="shared" si="6"/>
        <v/>
      </c>
      <c r="J312" s="12" t="str">
        <f t="shared" si="7"/>
        <v/>
      </c>
      <c r="K312" s="12" t="str">
        <f t="shared" si="8"/>
        <v/>
      </c>
      <c r="L312" s="12" t="str">
        <f t="shared" si="9"/>
        <v/>
      </c>
      <c r="M312" s="12" t="str">
        <f t="shared" si="5"/>
        <v/>
      </c>
    </row>
    <row r="313" ht="15.75" customHeight="1">
      <c r="C313" s="12"/>
      <c r="I313" s="12" t="str">
        <f t="shared" si="6"/>
        <v/>
      </c>
      <c r="J313" s="12" t="str">
        <f t="shared" si="7"/>
        <v/>
      </c>
      <c r="K313" s="12" t="str">
        <f t="shared" si="8"/>
        <v/>
      </c>
      <c r="L313" s="12" t="str">
        <f t="shared" si="9"/>
        <v/>
      </c>
      <c r="M313" s="12" t="str">
        <f t="shared" si="5"/>
        <v/>
      </c>
    </row>
    <row r="314" ht="15.75" customHeight="1">
      <c r="C314" s="12"/>
      <c r="I314" s="12" t="str">
        <f t="shared" si="6"/>
        <v/>
      </c>
      <c r="J314" s="12" t="str">
        <f t="shared" si="7"/>
        <v/>
      </c>
      <c r="K314" s="12" t="str">
        <f t="shared" si="8"/>
        <v/>
      </c>
      <c r="L314" s="12" t="str">
        <f t="shared" si="9"/>
        <v/>
      </c>
      <c r="M314" s="12" t="str">
        <f t="shared" si="5"/>
        <v/>
      </c>
    </row>
    <row r="315" ht="15.75" customHeight="1">
      <c r="C315" s="12"/>
      <c r="I315" s="12" t="str">
        <f t="shared" si="6"/>
        <v/>
      </c>
      <c r="J315" s="12" t="str">
        <f t="shared" si="7"/>
        <v/>
      </c>
      <c r="K315" s="12" t="str">
        <f t="shared" si="8"/>
        <v/>
      </c>
      <c r="L315" s="12" t="str">
        <f t="shared" si="9"/>
        <v/>
      </c>
      <c r="M315" s="12" t="str">
        <f t="shared" si="5"/>
        <v/>
      </c>
    </row>
    <row r="316" ht="15.75" customHeight="1">
      <c r="C316" s="12"/>
      <c r="I316" s="12" t="str">
        <f t="shared" si="6"/>
        <v/>
      </c>
      <c r="J316" s="12" t="str">
        <f t="shared" si="7"/>
        <v/>
      </c>
      <c r="K316" s="12" t="str">
        <f t="shared" si="8"/>
        <v/>
      </c>
      <c r="L316" s="12" t="str">
        <f t="shared" si="9"/>
        <v/>
      </c>
      <c r="M316" s="12" t="str">
        <f t="shared" si="5"/>
        <v/>
      </c>
    </row>
    <row r="317" ht="15.75" customHeight="1">
      <c r="C317" s="12"/>
      <c r="I317" s="12" t="str">
        <f t="shared" si="6"/>
        <v/>
      </c>
      <c r="J317" s="12" t="str">
        <f t="shared" si="7"/>
        <v/>
      </c>
      <c r="K317" s="12" t="str">
        <f t="shared" si="8"/>
        <v/>
      </c>
      <c r="L317" s="12" t="str">
        <f t="shared" si="9"/>
        <v/>
      </c>
      <c r="M317" s="12" t="str">
        <f t="shared" si="5"/>
        <v/>
      </c>
    </row>
    <row r="318" ht="15.75" customHeight="1">
      <c r="C318" s="12"/>
      <c r="I318" s="12" t="str">
        <f t="shared" si="6"/>
        <v/>
      </c>
      <c r="J318" s="12" t="str">
        <f t="shared" si="7"/>
        <v/>
      </c>
      <c r="K318" s="12" t="str">
        <f t="shared" si="8"/>
        <v/>
      </c>
      <c r="L318" s="12" t="str">
        <f t="shared" si="9"/>
        <v/>
      </c>
      <c r="M318" s="12" t="str">
        <f t="shared" si="5"/>
        <v/>
      </c>
    </row>
    <row r="319" ht="15.75" customHeight="1">
      <c r="C319" s="12"/>
      <c r="I319" s="12" t="str">
        <f t="shared" si="6"/>
        <v/>
      </c>
      <c r="J319" s="12" t="str">
        <f t="shared" si="7"/>
        <v/>
      </c>
      <c r="K319" s="12" t="str">
        <f t="shared" si="8"/>
        <v/>
      </c>
      <c r="L319" s="12" t="str">
        <f t="shared" si="9"/>
        <v/>
      </c>
      <c r="M319" s="12" t="str">
        <f t="shared" si="5"/>
        <v/>
      </c>
    </row>
    <row r="320" ht="15.75" customHeight="1">
      <c r="C320" s="12"/>
      <c r="I320" s="12" t="str">
        <f t="shared" si="6"/>
        <v/>
      </c>
      <c r="J320" s="12" t="str">
        <f t="shared" si="7"/>
        <v/>
      </c>
      <c r="K320" s="12" t="str">
        <f t="shared" si="8"/>
        <v/>
      </c>
      <c r="L320" s="12" t="str">
        <f t="shared" si="9"/>
        <v/>
      </c>
      <c r="M320" s="12" t="str">
        <f t="shared" si="5"/>
        <v/>
      </c>
    </row>
    <row r="321" ht="15.75" customHeight="1">
      <c r="C321" s="12"/>
      <c r="I321" s="12" t="str">
        <f t="shared" si="6"/>
        <v/>
      </c>
      <c r="J321" s="12" t="str">
        <f t="shared" si="7"/>
        <v/>
      </c>
      <c r="K321" s="12" t="str">
        <f t="shared" si="8"/>
        <v/>
      </c>
      <c r="L321" s="12" t="str">
        <f t="shared" si="9"/>
        <v/>
      </c>
      <c r="M321" s="12" t="str">
        <f t="shared" si="5"/>
        <v/>
      </c>
    </row>
    <row r="322" ht="15.75" customHeight="1">
      <c r="C322" s="12"/>
      <c r="I322" s="12" t="str">
        <f t="shared" si="6"/>
        <v/>
      </c>
      <c r="J322" s="12" t="str">
        <f t="shared" si="7"/>
        <v/>
      </c>
      <c r="K322" s="12" t="str">
        <f t="shared" si="8"/>
        <v/>
      </c>
      <c r="L322" s="12" t="str">
        <f t="shared" si="9"/>
        <v/>
      </c>
      <c r="M322" s="12" t="str">
        <f t="shared" si="5"/>
        <v/>
      </c>
    </row>
    <row r="323" ht="15.75" customHeight="1">
      <c r="C323" s="12"/>
      <c r="I323" s="12" t="str">
        <f t="shared" si="6"/>
        <v/>
      </c>
      <c r="J323" s="12" t="str">
        <f t="shared" si="7"/>
        <v/>
      </c>
      <c r="K323" s="12" t="str">
        <f t="shared" si="8"/>
        <v/>
      </c>
      <c r="L323" s="12" t="str">
        <f t="shared" si="9"/>
        <v/>
      </c>
      <c r="M323" s="12" t="str">
        <f t="shared" si="5"/>
        <v/>
      </c>
    </row>
    <row r="324" ht="15.75" customHeight="1">
      <c r="C324" s="12"/>
      <c r="I324" s="12" t="str">
        <f t="shared" si="6"/>
        <v/>
      </c>
      <c r="J324" s="12" t="str">
        <f t="shared" si="7"/>
        <v/>
      </c>
      <c r="K324" s="12" t="str">
        <f t="shared" si="8"/>
        <v/>
      </c>
      <c r="L324" s="12" t="str">
        <f t="shared" si="9"/>
        <v/>
      </c>
      <c r="M324" s="12" t="str">
        <f t="shared" si="5"/>
        <v/>
      </c>
    </row>
    <row r="325" ht="15.75" customHeight="1">
      <c r="C325" s="12"/>
      <c r="I325" s="12" t="str">
        <f t="shared" si="6"/>
        <v/>
      </c>
      <c r="J325" s="12" t="str">
        <f t="shared" si="7"/>
        <v/>
      </c>
      <c r="K325" s="12" t="str">
        <f t="shared" si="8"/>
        <v/>
      </c>
      <c r="L325" s="12" t="str">
        <f t="shared" si="9"/>
        <v/>
      </c>
      <c r="M325" s="12" t="str">
        <f t="shared" si="5"/>
        <v/>
      </c>
    </row>
    <row r="326" ht="15.75" customHeight="1">
      <c r="C326" s="12"/>
      <c r="I326" s="12" t="str">
        <f t="shared" si="6"/>
        <v/>
      </c>
      <c r="J326" s="12" t="str">
        <f t="shared" si="7"/>
        <v/>
      </c>
      <c r="K326" s="12" t="str">
        <f t="shared" si="8"/>
        <v/>
      </c>
      <c r="L326" s="12" t="str">
        <f t="shared" si="9"/>
        <v/>
      </c>
      <c r="M326" s="12" t="str">
        <f t="shared" si="5"/>
        <v/>
      </c>
    </row>
    <row r="327" ht="15.75" customHeight="1">
      <c r="C327" s="12"/>
      <c r="I327" s="12" t="str">
        <f t="shared" si="6"/>
        <v/>
      </c>
      <c r="J327" s="12" t="str">
        <f t="shared" si="7"/>
        <v/>
      </c>
      <c r="K327" s="12" t="str">
        <f t="shared" si="8"/>
        <v/>
      </c>
      <c r="L327" s="12" t="str">
        <f t="shared" si="9"/>
        <v/>
      </c>
      <c r="M327" s="12" t="str">
        <f t="shared" si="5"/>
        <v/>
      </c>
    </row>
    <row r="328" ht="15.75" customHeight="1">
      <c r="C328" s="12"/>
      <c r="I328" s="12" t="str">
        <f t="shared" si="6"/>
        <v/>
      </c>
      <c r="J328" s="12" t="str">
        <f t="shared" si="7"/>
        <v/>
      </c>
      <c r="K328" s="12" t="str">
        <f t="shared" si="8"/>
        <v/>
      </c>
      <c r="L328" s="12" t="str">
        <f t="shared" si="9"/>
        <v/>
      </c>
      <c r="M328" s="12" t="str">
        <f t="shared" si="5"/>
        <v/>
      </c>
    </row>
    <row r="329" ht="15.75" customHeight="1">
      <c r="C329" s="12"/>
      <c r="I329" s="12" t="str">
        <f t="shared" si="6"/>
        <v/>
      </c>
      <c r="J329" s="12" t="str">
        <f t="shared" si="7"/>
        <v/>
      </c>
      <c r="K329" s="12" t="str">
        <f t="shared" si="8"/>
        <v/>
      </c>
      <c r="L329" s="12" t="str">
        <f t="shared" si="9"/>
        <v/>
      </c>
      <c r="M329" s="12" t="str">
        <f t="shared" si="5"/>
        <v/>
      </c>
    </row>
    <row r="330" ht="15.75" customHeight="1">
      <c r="C330" s="12"/>
      <c r="I330" s="12" t="str">
        <f t="shared" si="6"/>
        <v/>
      </c>
      <c r="J330" s="12" t="str">
        <f t="shared" si="7"/>
        <v/>
      </c>
      <c r="K330" s="12" t="str">
        <f t="shared" si="8"/>
        <v/>
      </c>
      <c r="L330" s="12" t="str">
        <f t="shared" si="9"/>
        <v/>
      </c>
      <c r="M330" s="12" t="str">
        <f t="shared" si="5"/>
        <v/>
      </c>
    </row>
    <row r="331" ht="15.75" customHeight="1">
      <c r="C331" s="12"/>
      <c r="I331" s="12" t="str">
        <f t="shared" si="6"/>
        <v/>
      </c>
      <c r="J331" s="12" t="str">
        <f t="shared" si="7"/>
        <v/>
      </c>
      <c r="K331" s="12" t="str">
        <f t="shared" si="8"/>
        <v/>
      </c>
      <c r="L331" s="12" t="str">
        <f t="shared" si="9"/>
        <v/>
      </c>
      <c r="M331" s="12" t="str">
        <f t="shared" si="5"/>
        <v/>
      </c>
    </row>
    <row r="332" ht="15.75" customHeight="1">
      <c r="C332" s="12"/>
      <c r="I332" s="12" t="str">
        <f t="shared" si="6"/>
        <v/>
      </c>
      <c r="J332" s="12" t="str">
        <f t="shared" si="7"/>
        <v/>
      </c>
      <c r="K332" s="12" t="str">
        <f t="shared" si="8"/>
        <v/>
      </c>
      <c r="L332" s="12" t="str">
        <f t="shared" si="9"/>
        <v/>
      </c>
      <c r="M332" s="12" t="str">
        <f t="shared" si="5"/>
        <v/>
      </c>
    </row>
    <row r="333" ht="15.75" customHeight="1">
      <c r="C333" s="12"/>
      <c r="I333" s="12" t="str">
        <f t="shared" si="6"/>
        <v/>
      </c>
      <c r="J333" s="12" t="str">
        <f t="shared" si="7"/>
        <v/>
      </c>
      <c r="K333" s="12" t="str">
        <f t="shared" si="8"/>
        <v/>
      </c>
      <c r="L333" s="12" t="str">
        <f t="shared" si="9"/>
        <v/>
      </c>
      <c r="M333" s="12" t="str">
        <f t="shared" si="5"/>
        <v/>
      </c>
    </row>
    <row r="334" ht="15.75" customHeight="1">
      <c r="C334" s="12"/>
      <c r="I334" s="12" t="str">
        <f t="shared" si="6"/>
        <v/>
      </c>
      <c r="J334" s="12" t="str">
        <f t="shared" si="7"/>
        <v/>
      </c>
      <c r="K334" s="12" t="str">
        <f t="shared" si="8"/>
        <v/>
      </c>
      <c r="L334" s="12" t="str">
        <f t="shared" si="9"/>
        <v/>
      </c>
      <c r="M334" s="12" t="str">
        <f t="shared" si="5"/>
        <v/>
      </c>
    </row>
    <row r="335" ht="15.75" customHeight="1">
      <c r="C335" s="12"/>
      <c r="I335" s="12" t="str">
        <f t="shared" si="6"/>
        <v/>
      </c>
      <c r="J335" s="12" t="str">
        <f t="shared" si="7"/>
        <v/>
      </c>
      <c r="K335" s="12" t="str">
        <f t="shared" si="8"/>
        <v/>
      </c>
      <c r="L335" s="12" t="str">
        <f t="shared" si="9"/>
        <v/>
      </c>
      <c r="M335" s="12" t="str">
        <f t="shared" si="5"/>
        <v/>
      </c>
    </row>
    <row r="336" ht="15.75" customHeight="1">
      <c r="C336" s="12"/>
      <c r="I336" s="12" t="str">
        <f t="shared" si="6"/>
        <v/>
      </c>
      <c r="J336" s="12" t="str">
        <f t="shared" si="7"/>
        <v/>
      </c>
      <c r="K336" s="12" t="str">
        <f t="shared" si="8"/>
        <v/>
      </c>
      <c r="L336" s="12" t="str">
        <f t="shared" si="9"/>
        <v/>
      </c>
      <c r="M336" s="12" t="str">
        <f t="shared" si="5"/>
        <v/>
      </c>
    </row>
    <row r="337" ht="15.75" customHeight="1">
      <c r="C337" s="12"/>
      <c r="I337" s="12" t="str">
        <f t="shared" si="6"/>
        <v/>
      </c>
      <c r="J337" s="12" t="str">
        <f t="shared" si="7"/>
        <v/>
      </c>
      <c r="K337" s="12" t="str">
        <f t="shared" si="8"/>
        <v/>
      </c>
      <c r="L337" s="12" t="str">
        <f t="shared" si="9"/>
        <v/>
      </c>
      <c r="M337" s="12" t="str">
        <f t="shared" si="5"/>
        <v/>
      </c>
    </row>
    <row r="338" ht="15.75" customHeight="1">
      <c r="C338" s="12"/>
      <c r="I338" s="12" t="str">
        <f t="shared" si="6"/>
        <v/>
      </c>
      <c r="J338" s="12" t="str">
        <f t="shared" si="7"/>
        <v/>
      </c>
      <c r="K338" s="12" t="str">
        <f t="shared" si="8"/>
        <v/>
      </c>
      <c r="L338" s="12" t="str">
        <f t="shared" si="9"/>
        <v/>
      </c>
      <c r="M338" s="12" t="str">
        <f t="shared" si="5"/>
        <v/>
      </c>
    </row>
    <row r="339" ht="15.75" customHeight="1">
      <c r="C339" s="12"/>
      <c r="I339" s="12" t="str">
        <f t="shared" si="6"/>
        <v/>
      </c>
      <c r="J339" s="12" t="str">
        <f t="shared" si="7"/>
        <v/>
      </c>
      <c r="K339" s="12" t="str">
        <f t="shared" si="8"/>
        <v/>
      </c>
      <c r="L339" s="12" t="str">
        <f t="shared" si="9"/>
        <v/>
      </c>
      <c r="M339" s="12" t="str">
        <f t="shared" si="5"/>
        <v/>
      </c>
    </row>
    <row r="340" ht="15.75" customHeight="1">
      <c r="C340" s="12"/>
      <c r="I340" s="12" t="str">
        <f t="shared" si="6"/>
        <v/>
      </c>
      <c r="J340" s="12" t="str">
        <f t="shared" si="7"/>
        <v/>
      </c>
      <c r="K340" s="12" t="str">
        <f t="shared" si="8"/>
        <v/>
      </c>
      <c r="L340" s="12" t="str">
        <f t="shared" si="9"/>
        <v/>
      </c>
      <c r="M340" s="12" t="str">
        <f t="shared" si="5"/>
        <v/>
      </c>
    </row>
    <row r="341" ht="15.75" customHeight="1">
      <c r="C341" s="12"/>
      <c r="I341" s="12" t="str">
        <f t="shared" si="6"/>
        <v/>
      </c>
      <c r="J341" s="12" t="str">
        <f t="shared" si="7"/>
        <v/>
      </c>
      <c r="K341" s="12" t="str">
        <f t="shared" si="8"/>
        <v/>
      </c>
      <c r="L341" s="12" t="str">
        <f t="shared" si="9"/>
        <v/>
      </c>
      <c r="M341" s="12" t="str">
        <f t="shared" si="5"/>
        <v/>
      </c>
    </row>
    <row r="342" ht="15.75" customHeight="1">
      <c r="C342" s="12"/>
      <c r="I342" s="12" t="str">
        <f t="shared" si="6"/>
        <v/>
      </c>
      <c r="J342" s="12" t="str">
        <f t="shared" si="7"/>
        <v/>
      </c>
      <c r="K342" s="12" t="str">
        <f t="shared" si="8"/>
        <v/>
      </c>
      <c r="L342" s="12" t="str">
        <f t="shared" si="9"/>
        <v/>
      </c>
      <c r="M342" s="12" t="str">
        <f t="shared" si="5"/>
        <v/>
      </c>
    </row>
    <row r="343" ht="15.75" customHeight="1">
      <c r="C343" s="12"/>
      <c r="I343" s="12" t="str">
        <f t="shared" si="6"/>
        <v/>
      </c>
      <c r="J343" s="12" t="str">
        <f t="shared" si="7"/>
        <v/>
      </c>
      <c r="K343" s="12" t="str">
        <f t="shared" si="8"/>
        <v/>
      </c>
      <c r="L343" s="12" t="str">
        <f t="shared" si="9"/>
        <v/>
      </c>
      <c r="M343" s="12" t="str">
        <f t="shared" si="5"/>
        <v/>
      </c>
    </row>
    <row r="344" ht="15.75" customHeight="1">
      <c r="C344" s="12"/>
      <c r="I344" s="12" t="str">
        <f t="shared" si="6"/>
        <v/>
      </c>
      <c r="J344" s="12" t="str">
        <f t="shared" si="7"/>
        <v/>
      </c>
      <c r="K344" s="12" t="str">
        <f t="shared" si="8"/>
        <v/>
      </c>
      <c r="L344" s="12" t="str">
        <f t="shared" si="9"/>
        <v/>
      </c>
      <c r="M344" s="12" t="str">
        <f t="shared" si="5"/>
        <v/>
      </c>
    </row>
    <row r="345" ht="15.75" customHeight="1">
      <c r="C345" s="12"/>
      <c r="I345" s="12" t="str">
        <f t="shared" si="6"/>
        <v/>
      </c>
      <c r="J345" s="12" t="str">
        <f t="shared" si="7"/>
        <v/>
      </c>
      <c r="K345" s="12" t="str">
        <f t="shared" si="8"/>
        <v/>
      </c>
      <c r="L345" s="12" t="str">
        <f t="shared" si="9"/>
        <v/>
      </c>
      <c r="M345" s="12" t="str">
        <f t="shared" si="5"/>
        <v/>
      </c>
    </row>
    <row r="346" ht="15.75" customHeight="1">
      <c r="C346" s="12"/>
      <c r="I346" s="12" t="str">
        <f t="shared" si="6"/>
        <v/>
      </c>
      <c r="J346" s="12" t="str">
        <f t="shared" si="7"/>
        <v/>
      </c>
      <c r="K346" s="12" t="str">
        <f t="shared" si="8"/>
        <v/>
      </c>
      <c r="L346" s="12" t="str">
        <f t="shared" si="9"/>
        <v/>
      </c>
      <c r="M346" s="12" t="str">
        <f t="shared" si="5"/>
        <v/>
      </c>
    </row>
    <row r="347" ht="15.75" customHeight="1">
      <c r="C347" s="12"/>
      <c r="I347" s="12" t="str">
        <f t="shared" si="6"/>
        <v/>
      </c>
      <c r="J347" s="12" t="str">
        <f t="shared" si="7"/>
        <v/>
      </c>
      <c r="K347" s="12" t="str">
        <f t="shared" si="8"/>
        <v/>
      </c>
      <c r="L347" s="12" t="str">
        <f t="shared" si="9"/>
        <v/>
      </c>
      <c r="M347" s="12" t="str">
        <f t="shared" si="5"/>
        <v/>
      </c>
    </row>
    <row r="348" ht="15.75" customHeight="1">
      <c r="C348" s="12"/>
      <c r="I348" s="12" t="str">
        <f t="shared" si="6"/>
        <v/>
      </c>
      <c r="J348" s="12" t="str">
        <f t="shared" si="7"/>
        <v/>
      </c>
      <c r="K348" s="12" t="str">
        <f t="shared" si="8"/>
        <v/>
      </c>
      <c r="L348" s="12" t="str">
        <f t="shared" si="9"/>
        <v/>
      </c>
      <c r="M348" s="12" t="str">
        <f t="shared" si="5"/>
        <v/>
      </c>
    </row>
    <row r="349" ht="15.75" customHeight="1">
      <c r="C349" s="12"/>
      <c r="I349" s="12" t="str">
        <f t="shared" si="6"/>
        <v/>
      </c>
      <c r="J349" s="12" t="str">
        <f t="shared" si="7"/>
        <v/>
      </c>
      <c r="K349" s="12" t="str">
        <f t="shared" si="8"/>
        <v/>
      </c>
      <c r="L349" s="12" t="str">
        <f t="shared" si="9"/>
        <v/>
      </c>
      <c r="M349" s="12" t="str">
        <f t="shared" si="5"/>
        <v/>
      </c>
    </row>
    <row r="350" ht="15.75" customHeight="1">
      <c r="C350" s="12"/>
      <c r="I350" s="12" t="str">
        <f t="shared" si="6"/>
        <v/>
      </c>
      <c r="J350" s="12" t="str">
        <f t="shared" si="7"/>
        <v/>
      </c>
      <c r="K350" s="12" t="str">
        <f t="shared" si="8"/>
        <v/>
      </c>
      <c r="L350" s="12" t="str">
        <f t="shared" si="9"/>
        <v/>
      </c>
      <c r="M350" s="12" t="str">
        <f t="shared" si="5"/>
        <v/>
      </c>
    </row>
    <row r="351" ht="15.75" customHeight="1">
      <c r="C351" s="12"/>
      <c r="I351" s="12" t="str">
        <f t="shared" si="6"/>
        <v/>
      </c>
      <c r="J351" s="12" t="str">
        <f t="shared" si="7"/>
        <v/>
      </c>
      <c r="K351" s="12" t="str">
        <f t="shared" si="8"/>
        <v/>
      </c>
      <c r="L351" s="12" t="str">
        <f t="shared" si="9"/>
        <v/>
      </c>
      <c r="M351" s="12" t="str">
        <f t="shared" si="5"/>
        <v/>
      </c>
    </row>
    <row r="352" ht="15.75" customHeight="1">
      <c r="C352" s="12"/>
      <c r="I352" s="12" t="str">
        <f t="shared" si="6"/>
        <v/>
      </c>
      <c r="J352" s="12" t="str">
        <f t="shared" si="7"/>
        <v/>
      </c>
      <c r="K352" s="12" t="str">
        <f t="shared" si="8"/>
        <v/>
      </c>
      <c r="L352" s="12" t="str">
        <f t="shared" si="9"/>
        <v/>
      </c>
      <c r="M352" s="12" t="str">
        <f t="shared" si="5"/>
        <v/>
      </c>
    </row>
    <row r="353" ht="15.75" customHeight="1">
      <c r="C353" s="12"/>
      <c r="I353" s="12" t="str">
        <f t="shared" si="6"/>
        <v/>
      </c>
      <c r="J353" s="12" t="str">
        <f t="shared" si="7"/>
        <v/>
      </c>
      <c r="K353" s="12" t="str">
        <f t="shared" si="8"/>
        <v/>
      </c>
      <c r="L353" s="12" t="str">
        <f t="shared" si="9"/>
        <v/>
      </c>
      <c r="M353" s="12" t="str">
        <f t="shared" si="5"/>
        <v/>
      </c>
    </row>
    <row r="354" ht="15.75" customHeight="1">
      <c r="C354" s="12"/>
      <c r="I354" s="12" t="str">
        <f t="shared" si="6"/>
        <v/>
      </c>
      <c r="J354" s="12" t="str">
        <f t="shared" si="7"/>
        <v/>
      </c>
      <c r="K354" s="12" t="str">
        <f t="shared" si="8"/>
        <v/>
      </c>
      <c r="L354" s="12" t="str">
        <f t="shared" si="9"/>
        <v/>
      </c>
      <c r="M354" s="12" t="str">
        <f t="shared" si="5"/>
        <v/>
      </c>
    </row>
    <row r="355" ht="15.75" customHeight="1">
      <c r="C355" s="12"/>
      <c r="I355" s="12" t="str">
        <f t="shared" si="6"/>
        <v/>
      </c>
      <c r="J355" s="12" t="str">
        <f t="shared" si="7"/>
        <v/>
      </c>
      <c r="K355" s="12" t="str">
        <f t="shared" si="8"/>
        <v/>
      </c>
      <c r="L355" s="12" t="str">
        <f t="shared" si="9"/>
        <v/>
      </c>
      <c r="M355" s="12" t="str">
        <f t="shared" si="5"/>
        <v/>
      </c>
    </row>
    <row r="356" ht="15.75" customHeight="1">
      <c r="C356" s="12"/>
      <c r="I356" s="12" t="str">
        <f t="shared" si="6"/>
        <v/>
      </c>
      <c r="J356" s="12" t="str">
        <f t="shared" si="7"/>
        <v/>
      </c>
      <c r="K356" s="12" t="str">
        <f t="shared" si="8"/>
        <v/>
      </c>
      <c r="L356" s="12" t="str">
        <f t="shared" si="9"/>
        <v/>
      </c>
      <c r="M356" s="12" t="str">
        <f t="shared" si="5"/>
        <v/>
      </c>
    </row>
    <row r="357" ht="15.75" customHeight="1">
      <c r="C357" s="12"/>
      <c r="I357" s="12" t="str">
        <f t="shared" si="6"/>
        <v/>
      </c>
      <c r="J357" s="12" t="str">
        <f t="shared" si="7"/>
        <v/>
      </c>
      <c r="K357" s="12" t="str">
        <f t="shared" si="8"/>
        <v/>
      </c>
      <c r="L357" s="12" t="str">
        <f t="shared" si="9"/>
        <v/>
      </c>
      <c r="M357" s="12" t="str">
        <f t="shared" si="5"/>
        <v/>
      </c>
    </row>
    <row r="358" ht="15.75" customHeight="1">
      <c r="C358" s="12"/>
      <c r="I358" s="12" t="str">
        <f t="shared" si="6"/>
        <v/>
      </c>
      <c r="J358" s="12" t="str">
        <f t="shared" si="7"/>
        <v/>
      </c>
      <c r="K358" s="12" t="str">
        <f t="shared" si="8"/>
        <v/>
      </c>
      <c r="L358" s="12" t="str">
        <f t="shared" si="9"/>
        <v/>
      </c>
      <c r="M358" s="12" t="str">
        <f t="shared" si="5"/>
        <v/>
      </c>
    </row>
    <row r="359" ht="15.75" customHeight="1">
      <c r="C359" s="12"/>
      <c r="I359" s="12" t="str">
        <f t="shared" si="6"/>
        <v/>
      </c>
      <c r="J359" s="12" t="str">
        <f t="shared" si="7"/>
        <v/>
      </c>
      <c r="K359" s="12" t="str">
        <f t="shared" si="8"/>
        <v/>
      </c>
      <c r="L359" s="12" t="str">
        <f t="shared" si="9"/>
        <v/>
      </c>
      <c r="M359" s="12" t="str">
        <f t="shared" si="5"/>
        <v/>
      </c>
    </row>
    <row r="360" ht="15.75" customHeight="1">
      <c r="C360" s="12"/>
      <c r="I360" s="12" t="str">
        <f t="shared" si="6"/>
        <v/>
      </c>
      <c r="J360" s="12" t="str">
        <f t="shared" si="7"/>
        <v/>
      </c>
      <c r="K360" s="12" t="str">
        <f t="shared" si="8"/>
        <v/>
      </c>
      <c r="L360" s="12" t="str">
        <f t="shared" si="9"/>
        <v/>
      </c>
      <c r="M360" s="12" t="str">
        <f t="shared" si="5"/>
        <v/>
      </c>
    </row>
    <row r="361" ht="15.75" customHeight="1">
      <c r="C361" s="12"/>
      <c r="I361" s="12" t="str">
        <f t="shared" si="6"/>
        <v/>
      </c>
      <c r="J361" s="12" t="str">
        <f t="shared" si="7"/>
        <v/>
      </c>
      <c r="K361" s="12" t="str">
        <f t="shared" si="8"/>
        <v/>
      </c>
      <c r="L361" s="12" t="str">
        <f t="shared" si="9"/>
        <v/>
      </c>
      <c r="M361" s="12" t="str">
        <f t="shared" si="5"/>
        <v/>
      </c>
    </row>
    <row r="362" ht="15.75" customHeight="1">
      <c r="C362" s="12"/>
      <c r="I362" s="12" t="str">
        <f t="shared" si="6"/>
        <v/>
      </c>
      <c r="J362" s="12" t="str">
        <f t="shared" si="7"/>
        <v/>
      </c>
      <c r="K362" s="12" t="str">
        <f t="shared" si="8"/>
        <v/>
      </c>
      <c r="L362" s="12" t="str">
        <f t="shared" si="9"/>
        <v/>
      </c>
      <c r="M362" s="12" t="str">
        <f t="shared" si="5"/>
        <v/>
      </c>
    </row>
    <row r="363" ht="15.75" customHeight="1">
      <c r="C363" s="12"/>
      <c r="I363" s="12" t="str">
        <f t="shared" si="6"/>
        <v/>
      </c>
      <c r="J363" s="12" t="str">
        <f t="shared" si="7"/>
        <v/>
      </c>
      <c r="K363" s="12" t="str">
        <f t="shared" si="8"/>
        <v/>
      </c>
      <c r="L363" s="12" t="str">
        <f t="shared" si="9"/>
        <v/>
      </c>
      <c r="M363" s="12" t="str">
        <f t="shared" si="5"/>
        <v/>
      </c>
    </row>
    <row r="364" ht="15.75" customHeight="1">
      <c r="C364" s="12"/>
      <c r="I364" s="12" t="str">
        <f t="shared" si="6"/>
        <v/>
      </c>
      <c r="J364" s="12" t="str">
        <f t="shared" si="7"/>
        <v/>
      </c>
      <c r="K364" s="12" t="str">
        <f t="shared" si="8"/>
        <v/>
      </c>
      <c r="L364" s="12" t="str">
        <f t="shared" si="9"/>
        <v/>
      </c>
      <c r="M364" s="12" t="str">
        <f t="shared" si="5"/>
        <v/>
      </c>
    </row>
    <row r="365" ht="15.75" customHeight="1">
      <c r="C365" s="12"/>
      <c r="I365" s="12" t="str">
        <f t="shared" si="6"/>
        <v/>
      </c>
      <c r="J365" s="12" t="str">
        <f t="shared" si="7"/>
        <v/>
      </c>
      <c r="K365" s="12" t="str">
        <f t="shared" si="8"/>
        <v/>
      </c>
      <c r="L365" s="12" t="str">
        <f t="shared" si="9"/>
        <v/>
      </c>
      <c r="M365" s="12" t="str">
        <f t="shared" si="5"/>
        <v/>
      </c>
    </row>
    <row r="366" ht="15.75" customHeight="1">
      <c r="C366" s="12"/>
      <c r="I366" s="12" t="str">
        <f t="shared" si="6"/>
        <v/>
      </c>
      <c r="J366" s="12" t="str">
        <f t="shared" si="7"/>
        <v/>
      </c>
      <c r="K366" s="12" t="str">
        <f t="shared" si="8"/>
        <v/>
      </c>
      <c r="L366" s="12" t="str">
        <f t="shared" si="9"/>
        <v/>
      </c>
      <c r="M366" s="12" t="str">
        <f t="shared" si="5"/>
        <v/>
      </c>
    </row>
    <row r="367" ht="15.75" customHeight="1">
      <c r="C367" s="12"/>
      <c r="I367" s="12" t="str">
        <f t="shared" si="6"/>
        <v/>
      </c>
      <c r="J367" s="12" t="str">
        <f t="shared" si="7"/>
        <v/>
      </c>
      <c r="K367" s="12" t="str">
        <f t="shared" si="8"/>
        <v/>
      </c>
      <c r="L367" s="12" t="str">
        <f t="shared" si="9"/>
        <v/>
      </c>
      <c r="M367" s="12" t="str">
        <f t="shared" si="5"/>
        <v/>
      </c>
    </row>
    <row r="368" ht="15.75" customHeight="1">
      <c r="C368" s="12"/>
      <c r="I368" s="12" t="str">
        <f t="shared" si="6"/>
        <v/>
      </c>
      <c r="J368" s="12" t="str">
        <f t="shared" si="7"/>
        <v/>
      </c>
      <c r="K368" s="12" t="str">
        <f t="shared" si="8"/>
        <v/>
      </c>
      <c r="L368" s="12" t="str">
        <f t="shared" si="9"/>
        <v/>
      </c>
      <c r="M368" s="12" t="str">
        <f t="shared" si="5"/>
        <v/>
      </c>
    </row>
    <row r="369" ht="15.75" customHeight="1">
      <c r="C369" s="12"/>
      <c r="I369" s="12" t="str">
        <f t="shared" si="6"/>
        <v/>
      </c>
      <c r="J369" s="12" t="str">
        <f t="shared" si="7"/>
        <v/>
      </c>
      <c r="K369" s="12" t="str">
        <f t="shared" si="8"/>
        <v/>
      </c>
      <c r="L369" s="12" t="str">
        <f t="shared" si="9"/>
        <v/>
      </c>
      <c r="M369" s="12" t="str">
        <f t="shared" si="5"/>
        <v/>
      </c>
    </row>
    <row r="370" ht="15.75" customHeight="1">
      <c r="C370" s="12"/>
      <c r="I370" s="12" t="str">
        <f t="shared" si="6"/>
        <v/>
      </c>
      <c r="J370" s="12" t="str">
        <f t="shared" si="7"/>
        <v/>
      </c>
      <c r="K370" s="12" t="str">
        <f t="shared" si="8"/>
        <v/>
      </c>
      <c r="L370" s="12" t="str">
        <f t="shared" si="9"/>
        <v/>
      </c>
      <c r="M370" s="12" t="str">
        <f t="shared" si="5"/>
        <v/>
      </c>
    </row>
    <row r="371" ht="15.75" customHeight="1">
      <c r="C371" s="12"/>
      <c r="I371" s="12" t="str">
        <f t="shared" si="6"/>
        <v/>
      </c>
      <c r="J371" s="12" t="str">
        <f t="shared" si="7"/>
        <v/>
      </c>
      <c r="K371" s="12" t="str">
        <f t="shared" si="8"/>
        <v/>
      </c>
      <c r="L371" s="12" t="str">
        <f t="shared" si="9"/>
        <v/>
      </c>
      <c r="M371" s="12" t="str">
        <f t="shared" si="5"/>
        <v/>
      </c>
    </row>
    <row r="372" ht="15.75" customHeight="1">
      <c r="C372" s="12"/>
      <c r="I372" s="12" t="str">
        <f t="shared" si="6"/>
        <v/>
      </c>
      <c r="J372" s="12" t="str">
        <f t="shared" si="7"/>
        <v/>
      </c>
      <c r="K372" s="12" t="str">
        <f t="shared" si="8"/>
        <v/>
      </c>
      <c r="L372" s="12" t="str">
        <f t="shared" si="9"/>
        <v/>
      </c>
      <c r="M372" s="12" t="str">
        <f t="shared" si="5"/>
        <v/>
      </c>
    </row>
    <row r="373" ht="15.75" customHeight="1">
      <c r="C373" s="12"/>
      <c r="I373" s="12" t="str">
        <f t="shared" si="6"/>
        <v/>
      </c>
      <c r="J373" s="12" t="str">
        <f t="shared" si="7"/>
        <v/>
      </c>
      <c r="K373" s="12" t="str">
        <f t="shared" si="8"/>
        <v/>
      </c>
      <c r="L373" s="12" t="str">
        <f t="shared" si="9"/>
        <v/>
      </c>
      <c r="M373" s="12" t="str">
        <f t="shared" si="5"/>
        <v/>
      </c>
    </row>
    <row r="374" ht="15.75" customHeight="1">
      <c r="C374" s="12"/>
      <c r="I374" s="12" t="str">
        <f t="shared" si="6"/>
        <v/>
      </c>
      <c r="J374" s="12" t="str">
        <f t="shared" si="7"/>
        <v/>
      </c>
      <c r="K374" s="12" t="str">
        <f t="shared" si="8"/>
        <v/>
      </c>
      <c r="L374" s="12" t="str">
        <f t="shared" si="9"/>
        <v/>
      </c>
      <c r="M374" s="12" t="str">
        <f t="shared" si="5"/>
        <v/>
      </c>
    </row>
    <row r="375" ht="15.75" customHeight="1">
      <c r="C375" s="12"/>
      <c r="I375" s="12" t="str">
        <f t="shared" si="6"/>
        <v/>
      </c>
      <c r="J375" s="12" t="str">
        <f t="shared" si="7"/>
        <v/>
      </c>
      <c r="K375" s="12" t="str">
        <f t="shared" si="8"/>
        <v/>
      </c>
      <c r="L375" s="12" t="str">
        <f t="shared" si="9"/>
        <v/>
      </c>
      <c r="M375" s="12" t="str">
        <f t="shared" si="5"/>
        <v/>
      </c>
    </row>
    <row r="376" ht="15.75" customHeight="1">
      <c r="C376" s="12"/>
      <c r="I376" s="12" t="str">
        <f t="shared" si="6"/>
        <v/>
      </c>
      <c r="J376" s="12" t="str">
        <f t="shared" si="7"/>
        <v/>
      </c>
      <c r="K376" s="12" t="str">
        <f t="shared" si="8"/>
        <v/>
      </c>
      <c r="L376" s="12" t="str">
        <f t="shared" si="9"/>
        <v/>
      </c>
      <c r="M376" s="12" t="str">
        <f t="shared" si="5"/>
        <v/>
      </c>
    </row>
    <row r="377" ht="15.75" customHeight="1">
      <c r="C377" s="12"/>
      <c r="I377" s="12" t="str">
        <f t="shared" si="6"/>
        <v/>
      </c>
      <c r="J377" s="12" t="str">
        <f t="shared" si="7"/>
        <v/>
      </c>
      <c r="K377" s="12" t="str">
        <f t="shared" si="8"/>
        <v/>
      </c>
      <c r="L377" s="12" t="str">
        <f t="shared" si="9"/>
        <v/>
      </c>
      <c r="M377" s="12" t="str">
        <f t="shared" si="5"/>
        <v/>
      </c>
    </row>
    <row r="378" ht="15.75" customHeight="1">
      <c r="C378" s="12"/>
      <c r="I378" s="12" t="str">
        <f t="shared" si="6"/>
        <v/>
      </c>
      <c r="J378" s="12" t="str">
        <f t="shared" si="7"/>
        <v/>
      </c>
      <c r="K378" s="12" t="str">
        <f t="shared" si="8"/>
        <v/>
      </c>
      <c r="L378" s="12" t="str">
        <f t="shared" si="9"/>
        <v/>
      </c>
      <c r="M378" s="12" t="str">
        <f t="shared" si="5"/>
        <v/>
      </c>
    </row>
    <row r="379" ht="15.75" customHeight="1">
      <c r="C379" s="12"/>
      <c r="I379" s="12" t="str">
        <f t="shared" si="6"/>
        <v/>
      </c>
      <c r="J379" s="12" t="str">
        <f t="shared" si="7"/>
        <v/>
      </c>
      <c r="K379" s="12" t="str">
        <f t="shared" si="8"/>
        <v/>
      </c>
      <c r="L379" s="12" t="str">
        <f t="shared" si="9"/>
        <v/>
      </c>
      <c r="M379" s="12" t="str">
        <f t="shared" si="5"/>
        <v/>
      </c>
    </row>
    <row r="380" ht="15.75" customHeight="1">
      <c r="C380" s="12"/>
      <c r="I380" s="12" t="str">
        <f t="shared" si="6"/>
        <v/>
      </c>
      <c r="J380" s="12" t="str">
        <f t="shared" si="7"/>
        <v/>
      </c>
      <c r="K380" s="12" t="str">
        <f t="shared" si="8"/>
        <v/>
      </c>
      <c r="L380" s="12" t="str">
        <f t="shared" si="9"/>
        <v/>
      </c>
      <c r="M380" s="12" t="str">
        <f t="shared" si="5"/>
        <v/>
      </c>
    </row>
    <row r="381" ht="15.75" customHeight="1">
      <c r="C381" s="12"/>
      <c r="I381" s="12" t="str">
        <f t="shared" si="6"/>
        <v/>
      </c>
      <c r="J381" s="12" t="str">
        <f t="shared" si="7"/>
        <v/>
      </c>
      <c r="K381" s="12" t="str">
        <f t="shared" si="8"/>
        <v/>
      </c>
      <c r="L381" s="12" t="str">
        <f t="shared" si="9"/>
        <v/>
      </c>
      <c r="M381" s="12" t="str">
        <f t="shared" si="5"/>
        <v/>
      </c>
    </row>
    <row r="382" ht="15.75" customHeight="1">
      <c r="C382" s="12"/>
      <c r="I382" s="12" t="str">
        <f t="shared" si="6"/>
        <v/>
      </c>
      <c r="J382" s="12" t="str">
        <f t="shared" si="7"/>
        <v/>
      </c>
      <c r="K382" s="12" t="str">
        <f t="shared" si="8"/>
        <v/>
      </c>
      <c r="L382" s="12" t="str">
        <f t="shared" si="9"/>
        <v/>
      </c>
      <c r="M382" s="12" t="str">
        <f t="shared" si="5"/>
        <v/>
      </c>
    </row>
    <row r="383" ht="15.75" customHeight="1">
      <c r="C383" s="12"/>
      <c r="I383" s="12" t="str">
        <f t="shared" si="6"/>
        <v/>
      </c>
      <c r="J383" s="12" t="str">
        <f t="shared" si="7"/>
        <v/>
      </c>
      <c r="K383" s="12" t="str">
        <f t="shared" si="8"/>
        <v/>
      </c>
      <c r="L383" s="12" t="str">
        <f t="shared" si="9"/>
        <v/>
      </c>
      <c r="M383" s="12" t="str">
        <f t="shared" si="5"/>
        <v/>
      </c>
    </row>
    <row r="384" ht="15.75" customHeight="1">
      <c r="C384" s="12"/>
      <c r="I384" s="12" t="str">
        <f t="shared" si="6"/>
        <v/>
      </c>
      <c r="J384" s="12" t="str">
        <f t="shared" si="7"/>
        <v/>
      </c>
      <c r="K384" s="12" t="str">
        <f t="shared" si="8"/>
        <v/>
      </c>
      <c r="L384" s="12" t="str">
        <f t="shared" si="9"/>
        <v/>
      </c>
      <c r="M384" s="12" t="str">
        <f t="shared" si="5"/>
        <v/>
      </c>
    </row>
    <row r="385" ht="15.75" customHeight="1">
      <c r="C385" s="12"/>
      <c r="I385" s="12" t="str">
        <f t="shared" si="6"/>
        <v/>
      </c>
      <c r="J385" s="12" t="str">
        <f t="shared" si="7"/>
        <v/>
      </c>
      <c r="K385" s="12" t="str">
        <f t="shared" si="8"/>
        <v/>
      </c>
      <c r="L385" s="12" t="str">
        <f t="shared" si="9"/>
        <v/>
      </c>
      <c r="M385" s="12" t="str">
        <f t="shared" si="5"/>
        <v/>
      </c>
    </row>
    <row r="386" ht="15.75" customHeight="1">
      <c r="C386" s="12"/>
      <c r="I386" s="12" t="str">
        <f t="shared" si="6"/>
        <v/>
      </c>
      <c r="J386" s="12" t="str">
        <f t="shared" si="7"/>
        <v/>
      </c>
      <c r="K386" s="12" t="str">
        <f t="shared" si="8"/>
        <v/>
      </c>
      <c r="L386" s="12" t="str">
        <f t="shared" si="9"/>
        <v/>
      </c>
      <c r="M386" s="12" t="str">
        <f t="shared" si="5"/>
        <v/>
      </c>
    </row>
    <row r="387" ht="15.75" customHeight="1">
      <c r="C387" s="12"/>
      <c r="I387" s="12" t="str">
        <f t="shared" si="6"/>
        <v/>
      </c>
      <c r="J387" s="12" t="str">
        <f t="shared" si="7"/>
        <v/>
      </c>
      <c r="K387" s="12" t="str">
        <f t="shared" si="8"/>
        <v/>
      </c>
      <c r="L387" s="12" t="str">
        <f t="shared" si="9"/>
        <v/>
      </c>
      <c r="M387" s="12" t="str">
        <f t="shared" si="5"/>
        <v/>
      </c>
    </row>
    <row r="388" ht="15.75" customHeight="1">
      <c r="C388" s="12"/>
      <c r="I388" s="12" t="str">
        <f t="shared" si="6"/>
        <v/>
      </c>
      <c r="J388" s="12" t="str">
        <f t="shared" si="7"/>
        <v/>
      </c>
      <c r="K388" s="12" t="str">
        <f t="shared" si="8"/>
        <v/>
      </c>
      <c r="L388" s="12" t="str">
        <f t="shared" si="9"/>
        <v/>
      </c>
      <c r="M388" s="12" t="str">
        <f t="shared" si="5"/>
        <v/>
      </c>
    </row>
    <row r="389" ht="15.75" customHeight="1">
      <c r="C389" s="12"/>
      <c r="I389" s="12" t="str">
        <f t="shared" si="6"/>
        <v/>
      </c>
      <c r="J389" s="12" t="str">
        <f t="shared" si="7"/>
        <v/>
      </c>
      <c r="K389" s="12" t="str">
        <f t="shared" si="8"/>
        <v/>
      </c>
      <c r="L389" s="12" t="str">
        <f t="shared" si="9"/>
        <v/>
      </c>
      <c r="M389" s="12" t="str">
        <f t="shared" si="5"/>
        <v/>
      </c>
    </row>
    <row r="390" ht="15.75" customHeight="1">
      <c r="C390" s="12"/>
      <c r="I390" s="12" t="str">
        <f t="shared" si="6"/>
        <v/>
      </c>
      <c r="J390" s="12" t="str">
        <f t="shared" si="7"/>
        <v/>
      </c>
      <c r="K390" s="12" t="str">
        <f t="shared" si="8"/>
        <v/>
      </c>
      <c r="L390" s="12" t="str">
        <f t="shared" si="9"/>
        <v/>
      </c>
      <c r="M390" s="12" t="str">
        <f t="shared" si="5"/>
        <v/>
      </c>
    </row>
    <row r="391" ht="15.75" customHeight="1">
      <c r="C391" s="12"/>
      <c r="I391" s="12" t="str">
        <f t="shared" si="6"/>
        <v/>
      </c>
      <c r="J391" s="12" t="str">
        <f t="shared" si="7"/>
        <v/>
      </c>
      <c r="K391" s="12" t="str">
        <f t="shared" si="8"/>
        <v/>
      </c>
      <c r="L391" s="12" t="str">
        <f t="shared" si="9"/>
        <v/>
      </c>
      <c r="M391" s="12" t="str">
        <f t="shared" si="5"/>
        <v/>
      </c>
    </row>
    <row r="392" ht="15.75" customHeight="1">
      <c r="C392" s="12"/>
      <c r="I392" s="12" t="str">
        <f t="shared" si="6"/>
        <v/>
      </c>
      <c r="J392" s="12" t="str">
        <f t="shared" si="7"/>
        <v/>
      </c>
      <c r="K392" s="12" t="str">
        <f t="shared" si="8"/>
        <v/>
      </c>
      <c r="L392" s="12" t="str">
        <f t="shared" si="9"/>
        <v/>
      </c>
      <c r="M392" s="12" t="str">
        <f t="shared" si="5"/>
        <v/>
      </c>
    </row>
    <row r="393" ht="15.75" customHeight="1">
      <c r="C393" s="12"/>
      <c r="I393" s="12" t="str">
        <f t="shared" si="6"/>
        <v/>
      </c>
      <c r="J393" s="12" t="str">
        <f t="shared" si="7"/>
        <v/>
      </c>
      <c r="K393" s="12" t="str">
        <f t="shared" si="8"/>
        <v/>
      </c>
      <c r="L393" s="12" t="str">
        <f t="shared" si="9"/>
        <v/>
      </c>
      <c r="M393" s="12" t="str">
        <f t="shared" si="5"/>
        <v/>
      </c>
    </row>
    <row r="394" ht="15.75" customHeight="1">
      <c r="C394" s="12"/>
      <c r="I394" s="12" t="str">
        <f t="shared" si="6"/>
        <v/>
      </c>
      <c r="J394" s="12" t="str">
        <f t="shared" si="7"/>
        <v/>
      </c>
      <c r="K394" s="12" t="str">
        <f t="shared" si="8"/>
        <v/>
      </c>
      <c r="L394" s="12" t="str">
        <f t="shared" si="9"/>
        <v/>
      </c>
      <c r="M394" s="12" t="str">
        <f t="shared" si="5"/>
        <v/>
      </c>
    </row>
    <row r="395" ht="15.75" customHeight="1">
      <c r="C395" s="12"/>
      <c r="I395" s="12" t="str">
        <f t="shared" si="6"/>
        <v/>
      </c>
      <c r="J395" s="12" t="str">
        <f t="shared" si="7"/>
        <v/>
      </c>
      <c r="K395" s="12" t="str">
        <f t="shared" si="8"/>
        <v/>
      </c>
      <c r="L395" s="12" t="str">
        <f t="shared" si="9"/>
        <v/>
      </c>
      <c r="M395" s="12" t="str">
        <f t="shared" si="5"/>
        <v/>
      </c>
    </row>
    <row r="396" ht="15.75" customHeight="1">
      <c r="C396" s="12"/>
      <c r="I396" s="12" t="str">
        <f t="shared" si="6"/>
        <v/>
      </c>
      <c r="J396" s="12" t="str">
        <f t="shared" si="7"/>
        <v/>
      </c>
      <c r="K396" s="12" t="str">
        <f t="shared" si="8"/>
        <v/>
      </c>
      <c r="L396" s="12" t="str">
        <f t="shared" si="9"/>
        <v/>
      </c>
      <c r="M396" s="12" t="str">
        <f t="shared" si="5"/>
        <v/>
      </c>
    </row>
    <row r="397" ht="15.75" customHeight="1">
      <c r="C397" s="12"/>
      <c r="I397" s="12" t="str">
        <f t="shared" si="6"/>
        <v/>
      </c>
      <c r="J397" s="12" t="str">
        <f t="shared" si="7"/>
        <v/>
      </c>
      <c r="K397" s="12" t="str">
        <f t="shared" si="8"/>
        <v/>
      </c>
      <c r="L397" s="12" t="str">
        <f t="shared" si="9"/>
        <v/>
      </c>
      <c r="M397" s="12" t="str">
        <f t="shared" si="5"/>
        <v/>
      </c>
    </row>
    <row r="398" ht="15.75" customHeight="1">
      <c r="C398" s="12"/>
      <c r="I398" s="12" t="str">
        <f t="shared" si="6"/>
        <v/>
      </c>
      <c r="J398" s="12" t="str">
        <f t="shared" si="7"/>
        <v/>
      </c>
      <c r="K398" s="12" t="str">
        <f t="shared" si="8"/>
        <v/>
      </c>
      <c r="L398" s="12" t="str">
        <f t="shared" si="9"/>
        <v/>
      </c>
      <c r="M398" s="12" t="str">
        <f t="shared" si="5"/>
        <v/>
      </c>
    </row>
    <row r="399" ht="15.75" customHeight="1">
      <c r="C399" s="12"/>
      <c r="I399" s="12" t="str">
        <f t="shared" si="6"/>
        <v/>
      </c>
      <c r="J399" s="12" t="str">
        <f t="shared" si="7"/>
        <v/>
      </c>
      <c r="K399" s="12" t="str">
        <f t="shared" si="8"/>
        <v/>
      </c>
      <c r="L399" s="12" t="str">
        <f t="shared" si="9"/>
        <v/>
      </c>
      <c r="M399" s="12" t="str">
        <f t="shared" si="5"/>
        <v/>
      </c>
    </row>
    <row r="400" ht="15.75" customHeight="1">
      <c r="C400" s="12"/>
      <c r="I400" s="12" t="str">
        <f t="shared" si="6"/>
        <v/>
      </c>
      <c r="J400" s="12" t="str">
        <f t="shared" si="7"/>
        <v/>
      </c>
      <c r="K400" s="12" t="str">
        <f t="shared" si="8"/>
        <v/>
      </c>
      <c r="L400" s="12" t="str">
        <f t="shared" si="9"/>
        <v/>
      </c>
      <c r="M400" s="12" t="str">
        <f t="shared" si="5"/>
        <v/>
      </c>
    </row>
    <row r="401" ht="15.75" customHeight="1">
      <c r="C401" s="12"/>
      <c r="I401" s="12" t="str">
        <f t="shared" si="6"/>
        <v/>
      </c>
      <c r="J401" s="12" t="str">
        <f t="shared" si="7"/>
        <v/>
      </c>
      <c r="K401" s="12" t="str">
        <f t="shared" si="8"/>
        <v/>
      </c>
      <c r="L401" s="12" t="str">
        <f t="shared" si="9"/>
        <v/>
      </c>
      <c r="M401" s="12" t="str">
        <f t="shared" si="5"/>
        <v/>
      </c>
    </row>
    <row r="402" ht="15.75" customHeight="1">
      <c r="C402" s="12"/>
      <c r="I402" s="12" t="str">
        <f t="shared" si="6"/>
        <v/>
      </c>
      <c r="J402" s="12" t="str">
        <f t="shared" si="7"/>
        <v/>
      </c>
      <c r="K402" s="12" t="str">
        <f t="shared" si="8"/>
        <v/>
      </c>
      <c r="L402" s="12" t="str">
        <f t="shared" si="9"/>
        <v/>
      </c>
      <c r="M402" s="12" t="str">
        <f t="shared" si="5"/>
        <v/>
      </c>
    </row>
    <row r="403" ht="15.75" customHeight="1">
      <c r="C403" s="12"/>
      <c r="I403" s="12" t="str">
        <f t="shared" si="6"/>
        <v/>
      </c>
      <c r="J403" s="12" t="str">
        <f t="shared" si="7"/>
        <v/>
      </c>
      <c r="K403" s="12" t="str">
        <f t="shared" si="8"/>
        <v/>
      </c>
      <c r="L403" s="12" t="str">
        <f t="shared" si="9"/>
        <v/>
      </c>
      <c r="M403" s="12" t="str">
        <f t="shared" si="5"/>
        <v/>
      </c>
    </row>
    <row r="404" ht="15.75" customHeight="1">
      <c r="C404" s="12"/>
      <c r="I404" s="12" t="str">
        <f t="shared" si="6"/>
        <v/>
      </c>
      <c r="J404" s="12" t="str">
        <f t="shared" si="7"/>
        <v/>
      </c>
      <c r="K404" s="12" t="str">
        <f t="shared" si="8"/>
        <v/>
      </c>
      <c r="L404" s="12" t="str">
        <f t="shared" si="9"/>
        <v/>
      </c>
      <c r="M404" s="12" t="str">
        <f t="shared" si="5"/>
        <v/>
      </c>
    </row>
    <row r="405" ht="15.75" customHeight="1">
      <c r="C405" s="12"/>
      <c r="I405" s="12" t="str">
        <f t="shared" si="6"/>
        <v/>
      </c>
      <c r="J405" s="12" t="str">
        <f t="shared" si="7"/>
        <v/>
      </c>
      <c r="K405" s="12" t="str">
        <f t="shared" si="8"/>
        <v/>
      </c>
      <c r="L405" s="12" t="str">
        <f t="shared" si="9"/>
        <v/>
      </c>
      <c r="M405" s="12" t="str">
        <f t="shared" si="5"/>
        <v/>
      </c>
    </row>
    <row r="406" ht="15.75" customHeight="1">
      <c r="C406" s="12"/>
      <c r="I406" s="12" t="str">
        <f t="shared" si="6"/>
        <v/>
      </c>
      <c r="J406" s="12" t="str">
        <f t="shared" si="7"/>
        <v/>
      </c>
      <c r="K406" s="12" t="str">
        <f t="shared" si="8"/>
        <v/>
      </c>
      <c r="L406" s="12" t="str">
        <f t="shared" si="9"/>
        <v/>
      </c>
      <c r="M406" s="12" t="str">
        <f t="shared" si="5"/>
        <v/>
      </c>
    </row>
    <row r="407" ht="15.75" customHeight="1">
      <c r="C407" s="12"/>
      <c r="I407" s="12" t="str">
        <f t="shared" si="6"/>
        <v/>
      </c>
      <c r="J407" s="12" t="str">
        <f t="shared" si="7"/>
        <v/>
      </c>
      <c r="K407" s="12" t="str">
        <f t="shared" si="8"/>
        <v/>
      </c>
      <c r="L407" s="12" t="str">
        <f t="shared" si="9"/>
        <v/>
      </c>
      <c r="M407" s="12" t="str">
        <f t="shared" si="5"/>
        <v/>
      </c>
    </row>
    <row r="408" ht="15.75" customHeight="1">
      <c r="C408" s="12"/>
      <c r="I408" s="12" t="str">
        <f t="shared" si="6"/>
        <v/>
      </c>
      <c r="J408" s="12" t="str">
        <f t="shared" si="7"/>
        <v/>
      </c>
      <c r="K408" s="12" t="str">
        <f t="shared" si="8"/>
        <v/>
      </c>
      <c r="L408" s="12" t="str">
        <f t="shared" si="9"/>
        <v/>
      </c>
      <c r="M408" s="12" t="str">
        <f t="shared" si="5"/>
        <v/>
      </c>
    </row>
    <row r="409" ht="15.75" customHeight="1">
      <c r="C409" s="12"/>
      <c r="I409" s="12" t="str">
        <f t="shared" si="6"/>
        <v/>
      </c>
      <c r="J409" s="12" t="str">
        <f t="shared" si="7"/>
        <v/>
      </c>
      <c r="K409" s="12" t="str">
        <f t="shared" si="8"/>
        <v/>
      </c>
      <c r="L409" s="12" t="str">
        <f t="shared" si="9"/>
        <v/>
      </c>
      <c r="M409" s="12" t="str">
        <f t="shared" si="5"/>
        <v/>
      </c>
    </row>
    <row r="410" ht="15.75" customHeight="1">
      <c r="C410" s="12"/>
      <c r="I410" s="12" t="str">
        <f t="shared" si="6"/>
        <v/>
      </c>
      <c r="J410" s="12" t="str">
        <f t="shared" si="7"/>
        <v/>
      </c>
      <c r="K410" s="12" t="str">
        <f t="shared" si="8"/>
        <v/>
      </c>
      <c r="L410" s="12" t="str">
        <f t="shared" si="9"/>
        <v/>
      </c>
      <c r="M410" s="12" t="str">
        <f t="shared" si="5"/>
        <v/>
      </c>
    </row>
    <row r="411" ht="15.75" customHeight="1">
      <c r="C411" s="12"/>
      <c r="I411" s="12" t="str">
        <f t="shared" si="6"/>
        <v/>
      </c>
      <c r="J411" s="12" t="str">
        <f t="shared" si="7"/>
        <v/>
      </c>
      <c r="K411" s="12" t="str">
        <f t="shared" si="8"/>
        <v/>
      </c>
      <c r="L411" s="12" t="str">
        <f t="shared" si="9"/>
        <v/>
      </c>
      <c r="M411" s="12" t="str">
        <f t="shared" si="5"/>
        <v/>
      </c>
    </row>
    <row r="412" ht="15.75" customHeight="1">
      <c r="C412" s="12"/>
      <c r="I412" s="12" t="str">
        <f t="shared" si="6"/>
        <v/>
      </c>
      <c r="J412" s="12" t="str">
        <f t="shared" si="7"/>
        <v/>
      </c>
      <c r="K412" s="12" t="str">
        <f t="shared" si="8"/>
        <v/>
      </c>
      <c r="L412" s="12" t="str">
        <f t="shared" si="9"/>
        <v/>
      </c>
      <c r="M412" s="12" t="str">
        <f t="shared" si="5"/>
        <v/>
      </c>
    </row>
    <row r="413" ht="15.75" customHeight="1">
      <c r="C413" s="12"/>
      <c r="I413" s="12" t="str">
        <f t="shared" si="6"/>
        <v/>
      </c>
      <c r="J413" s="12" t="str">
        <f t="shared" si="7"/>
        <v/>
      </c>
      <c r="K413" s="12" t="str">
        <f t="shared" si="8"/>
        <v/>
      </c>
      <c r="L413" s="12" t="str">
        <f t="shared" si="9"/>
        <v/>
      </c>
      <c r="M413" s="12" t="str">
        <f t="shared" si="5"/>
        <v/>
      </c>
    </row>
    <row r="414" ht="15.75" customHeight="1">
      <c r="C414" s="12"/>
      <c r="I414" s="12" t="str">
        <f t="shared" si="6"/>
        <v/>
      </c>
      <c r="J414" s="12" t="str">
        <f t="shared" si="7"/>
        <v/>
      </c>
      <c r="K414" s="12" t="str">
        <f t="shared" si="8"/>
        <v/>
      </c>
      <c r="L414" s="12" t="str">
        <f t="shared" si="9"/>
        <v/>
      </c>
      <c r="M414" s="12" t="str">
        <f t="shared" si="5"/>
        <v/>
      </c>
    </row>
    <row r="415" ht="15.75" customHeight="1">
      <c r="C415" s="12"/>
      <c r="I415" s="12" t="str">
        <f t="shared" si="6"/>
        <v/>
      </c>
      <c r="J415" s="12" t="str">
        <f t="shared" si="7"/>
        <v/>
      </c>
      <c r="K415" s="12" t="str">
        <f t="shared" si="8"/>
        <v/>
      </c>
      <c r="L415" s="12" t="str">
        <f t="shared" si="9"/>
        <v/>
      </c>
      <c r="M415" s="12" t="str">
        <f t="shared" si="5"/>
        <v/>
      </c>
    </row>
    <row r="416" ht="15.75" customHeight="1">
      <c r="C416" s="12"/>
      <c r="I416" s="12" t="str">
        <f t="shared" si="6"/>
        <v/>
      </c>
      <c r="J416" s="12" t="str">
        <f t="shared" si="7"/>
        <v/>
      </c>
      <c r="K416" s="12" t="str">
        <f t="shared" si="8"/>
        <v/>
      </c>
      <c r="L416" s="12" t="str">
        <f t="shared" si="9"/>
        <v/>
      </c>
      <c r="M416" s="12" t="str">
        <f t="shared" si="5"/>
        <v/>
      </c>
    </row>
    <row r="417" ht="15.75" customHeight="1">
      <c r="C417" s="12"/>
      <c r="I417" s="12" t="str">
        <f t="shared" si="6"/>
        <v/>
      </c>
      <c r="J417" s="12" t="str">
        <f t="shared" si="7"/>
        <v/>
      </c>
      <c r="K417" s="12" t="str">
        <f t="shared" si="8"/>
        <v/>
      </c>
      <c r="L417" s="12" t="str">
        <f t="shared" si="9"/>
        <v/>
      </c>
      <c r="M417" s="12" t="str">
        <f t="shared" si="5"/>
        <v/>
      </c>
    </row>
    <row r="418" ht="15.75" customHeight="1">
      <c r="C418" s="12"/>
      <c r="I418" s="12" t="str">
        <f t="shared" si="6"/>
        <v/>
      </c>
      <c r="J418" s="12" t="str">
        <f t="shared" si="7"/>
        <v/>
      </c>
      <c r="K418" s="12" t="str">
        <f t="shared" si="8"/>
        <v/>
      </c>
      <c r="L418" s="12" t="str">
        <f t="shared" si="9"/>
        <v/>
      </c>
      <c r="M418" s="12" t="str">
        <f t="shared" si="5"/>
        <v/>
      </c>
    </row>
    <row r="419" ht="15.75" customHeight="1">
      <c r="C419" s="12"/>
      <c r="I419" s="12" t="str">
        <f t="shared" si="6"/>
        <v/>
      </c>
      <c r="J419" s="12" t="str">
        <f t="shared" si="7"/>
        <v/>
      </c>
      <c r="K419" s="12" t="str">
        <f t="shared" si="8"/>
        <v/>
      </c>
      <c r="L419" s="12" t="str">
        <f t="shared" si="9"/>
        <v/>
      </c>
      <c r="M419" s="12" t="str">
        <f t="shared" si="5"/>
        <v/>
      </c>
    </row>
    <row r="420" ht="15.75" customHeight="1">
      <c r="C420" s="12"/>
      <c r="I420" s="12" t="str">
        <f t="shared" si="6"/>
        <v/>
      </c>
      <c r="J420" s="12" t="str">
        <f t="shared" si="7"/>
        <v/>
      </c>
      <c r="K420" s="12" t="str">
        <f t="shared" si="8"/>
        <v/>
      </c>
      <c r="L420" s="12" t="str">
        <f t="shared" si="9"/>
        <v/>
      </c>
      <c r="M420" s="12" t="str">
        <f t="shared" si="5"/>
        <v/>
      </c>
    </row>
    <row r="421" ht="15.75" customHeight="1">
      <c r="C421" s="12"/>
      <c r="I421" s="12" t="str">
        <f t="shared" si="6"/>
        <v/>
      </c>
      <c r="J421" s="12" t="str">
        <f t="shared" si="7"/>
        <v/>
      </c>
      <c r="K421" s="12" t="str">
        <f t="shared" si="8"/>
        <v/>
      </c>
      <c r="L421" s="12" t="str">
        <f t="shared" si="9"/>
        <v/>
      </c>
      <c r="M421" s="12" t="str">
        <f t="shared" si="5"/>
        <v/>
      </c>
    </row>
    <row r="422" ht="15.75" customHeight="1">
      <c r="C422" s="12"/>
      <c r="I422" s="12" t="str">
        <f t="shared" si="6"/>
        <v/>
      </c>
      <c r="J422" s="12" t="str">
        <f t="shared" si="7"/>
        <v/>
      </c>
      <c r="K422" s="12" t="str">
        <f t="shared" si="8"/>
        <v/>
      </c>
      <c r="L422" s="12" t="str">
        <f t="shared" si="9"/>
        <v/>
      </c>
      <c r="M422" s="12" t="str">
        <f t="shared" si="5"/>
        <v/>
      </c>
    </row>
    <row r="423" ht="15.75" customHeight="1">
      <c r="C423" s="12"/>
      <c r="I423" s="12" t="str">
        <f t="shared" si="6"/>
        <v/>
      </c>
      <c r="J423" s="12" t="str">
        <f t="shared" si="7"/>
        <v/>
      </c>
      <c r="K423" s="12" t="str">
        <f t="shared" si="8"/>
        <v/>
      </c>
      <c r="L423" s="12" t="str">
        <f t="shared" si="9"/>
        <v/>
      </c>
      <c r="M423" s="12" t="str">
        <f t="shared" si="5"/>
        <v/>
      </c>
    </row>
    <row r="424" ht="15.75" customHeight="1">
      <c r="C424" s="12"/>
      <c r="I424" s="12" t="str">
        <f t="shared" si="6"/>
        <v/>
      </c>
      <c r="J424" s="12" t="str">
        <f t="shared" si="7"/>
        <v/>
      </c>
      <c r="K424" s="12" t="str">
        <f t="shared" si="8"/>
        <v/>
      </c>
      <c r="L424" s="12" t="str">
        <f t="shared" si="9"/>
        <v/>
      </c>
      <c r="M424" s="12" t="str">
        <f t="shared" si="5"/>
        <v/>
      </c>
    </row>
    <row r="425" ht="15.75" customHeight="1">
      <c r="C425" s="12"/>
      <c r="I425" s="12" t="str">
        <f t="shared" si="6"/>
        <v/>
      </c>
      <c r="J425" s="12" t="str">
        <f t="shared" si="7"/>
        <v/>
      </c>
      <c r="K425" s="12" t="str">
        <f t="shared" si="8"/>
        <v/>
      </c>
      <c r="L425" s="12" t="str">
        <f t="shared" si="9"/>
        <v/>
      </c>
      <c r="M425" s="12" t="str">
        <f t="shared" si="5"/>
        <v/>
      </c>
    </row>
    <row r="426" ht="15.75" customHeight="1">
      <c r="C426" s="12"/>
      <c r="I426" s="12" t="str">
        <f t="shared" si="6"/>
        <v/>
      </c>
      <c r="J426" s="12" t="str">
        <f t="shared" si="7"/>
        <v/>
      </c>
      <c r="K426" s="12" t="str">
        <f t="shared" si="8"/>
        <v/>
      </c>
      <c r="L426" s="12" t="str">
        <f t="shared" si="9"/>
        <v/>
      </c>
      <c r="M426" s="12" t="str">
        <f t="shared" si="5"/>
        <v/>
      </c>
    </row>
    <row r="427" ht="15.75" customHeight="1">
      <c r="C427" s="12"/>
      <c r="I427" s="12" t="str">
        <f t="shared" si="6"/>
        <v/>
      </c>
      <c r="J427" s="12" t="str">
        <f t="shared" si="7"/>
        <v/>
      </c>
      <c r="K427" s="12" t="str">
        <f t="shared" si="8"/>
        <v/>
      </c>
      <c r="L427" s="12" t="str">
        <f t="shared" si="9"/>
        <v/>
      </c>
      <c r="M427" s="12" t="str">
        <f t="shared" si="5"/>
        <v/>
      </c>
    </row>
    <row r="428" ht="15.75" customHeight="1">
      <c r="C428" s="12"/>
      <c r="I428" s="12" t="str">
        <f t="shared" si="6"/>
        <v/>
      </c>
      <c r="J428" s="12" t="str">
        <f t="shared" si="7"/>
        <v/>
      </c>
      <c r="K428" s="12" t="str">
        <f t="shared" si="8"/>
        <v/>
      </c>
      <c r="L428" s="12" t="str">
        <f t="shared" si="9"/>
        <v/>
      </c>
      <c r="M428" s="12" t="str">
        <f t="shared" si="5"/>
        <v/>
      </c>
    </row>
    <row r="429" ht="15.75" customHeight="1">
      <c r="C429" s="12"/>
      <c r="I429" s="12" t="str">
        <f t="shared" si="6"/>
        <v/>
      </c>
      <c r="J429" s="12" t="str">
        <f t="shared" si="7"/>
        <v/>
      </c>
      <c r="K429" s="12" t="str">
        <f t="shared" si="8"/>
        <v/>
      </c>
      <c r="L429" s="12" t="str">
        <f t="shared" si="9"/>
        <v/>
      </c>
      <c r="M429" s="12" t="str">
        <f t="shared" si="5"/>
        <v/>
      </c>
    </row>
    <row r="430" ht="15.75" customHeight="1">
      <c r="C430" s="12"/>
      <c r="I430" s="12" t="str">
        <f t="shared" si="6"/>
        <v/>
      </c>
      <c r="J430" s="12" t="str">
        <f t="shared" si="7"/>
        <v/>
      </c>
      <c r="K430" s="12" t="str">
        <f t="shared" si="8"/>
        <v/>
      </c>
      <c r="L430" s="12" t="str">
        <f t="shared" si="9"/>
        <v/>
      </c>
      <c r="M430" s="12" t="str">
        <f t="shared" si="5"/>
        <v/>
      </c>
    </row>
    <row r="431" ht="15.75" customHeight="1">
      <c r="C431" s="12"/>
      <c r="I431" s="12" t="str">
        <f t="shared" si="6"/>
        <v/>
      </c>
      <c r="J431" s="12" t="str">
        <f t="shared" si="7"/>
        <v/>
      </c>
      <c r="K431" s="12" t="str">
        <f t="shared" si="8"/>
        <v/>
      </c>
      <c r="L431" s="12" t="str">
        <f t="shared" si="9"/>
        <v/>
      </c>
      <c r="M431" s="12" t="str">
        <f t="shared" si="5"/>
        <v/>
      </c>
    </row>
    <row r="432" ht="15.75" customHeight="1">
      <c r="C432" s="12"/>
      <c r="I432" s="12" t="str">
        <f t="shared" si="6"/>
        <v/>
      </c>
      <c r="J432" s="12" t="str">
        <f t="shared" si="7"/>
        <v/>
      </c>
      <c r="K432" s="12" t="str">
        <f t="shared" si="8"/>
        <v/>
      </c>
      <c r="L432" s="12" t="str">
        <f t="shared" si="9"/>
        <v/>
      </c>
      <c r="M432" s="12" t="str">
        <f t="shared" si="5"/>
        <v/>
      </c>
    </row>
    <row r="433" ht="15.75" customHeight="1">
      <c r="C433" s="12"/>
      <c r="I433" s="12" t="str">
        <f t="shared" si="6"/>
        <v/>
      </c>
      <c r="J433" s="12" t="str">
        <f t="shared" si="7"/>
        <v/>
      </c>
      <c r="K433" s="12" t="str">
        <f t="shared" si="8"/>
        <v/>
      </c>
      <c r="L433" s="12" t="str">
        <f t="shared" si="9"/>
        <v/>
      </c>
      <c r="M433" s="12" t="str">
        <f t="shared" si="5"/>
        <v/>
      </c>
    </row>
    <row r="434" ht="15.75" customHeight="1">
      <c r="C434" s="12"/>
      <c r="I434" s="12" t="str">
        <f t="shared" si="6"/>
        <v/>
      </c>
      <c r="J434" s="12" t="str">
        <f t="shared" si="7"/>
        <v/>
      </c>
      <c r="K434" s="12" t="str">
        <f t="shared" si="8"/>
        <v/>
      </c>
      <c r="L434" s="12" t="str">
        <f t="shared" si="9"/>
        <v/>
      </c>
      <c r="M434" s="12" t="str">
        <f t="shared" si="5"/>
        <v/>
      </c>
    </row>
    <row r="435" ht="15.75" customHeight="1">
      <c r="C435" s="12"/>
      <c r="I435" s="12" t="str">
        <f t="shared" si="6"/>
        <v/>
      </c>
      <c r="J435" s="12" t="str">
        <f t="shared" si="7"/>
        <v/>
      </c>
      <c r="K435" s="12" t="str">
        <f t="shared" si="8"/>
        <v/>
      </c>
      <c r="L435" s="12" t="str">
        <f t="shared" si="9"/>
        <v/>
      </c>
      <c r="M435" s="12" t="str">
        <f t="shared" si="5"/>
        <v/>
      </c>
    </row>
    <row r="436" ht="15.75" customHeight="1">
      <c r="C436" s="12"/>
      <c r="I436" s="12" t="str">
        <f t="shared" si="6"/>
        <v/>
      </c>
      <c r="J436" s="12" t="str">
        <f t="shared" si="7"/>
        <v/>
      </c>
      <c r="K436" s="12" t="str">
        <f t="shared" si="8"/>
        <v/>
      </c>
      <c r="L436" s="12" t="str">
        <f t="shared" si="9"/>
        <v/>
      </c>
      <c r="M436" s="12" t="str">
        <f t="shared" si="5"/>
        <v/>
      </c>
    </row>
    <row r="437" ht="15.75" customHeight="1">
      <c r="C437" s="12"/>
      <c r="I437" s="12" t="str">
        <f t="shared" si="6"/>
        <v/>
      </c>
      <c r="J437" s="12" t="str">
        <f t="shared" si="7"/>
        <v/>
      </c>
      <c r="K437" s="12" t="str">
        <f t="shared" si="8"/>
        <v/>
      </c>
      <c r="L437" s="12" t="str">
        <f t="shared" si="9"/>
        <v/>
      </c>
      <c r="M437" s="12" t="str">
        <f t="shared" si="5"/>
        <v/>
      </c>
    </row>
    <row r="438" ht="15.75" customHeight="1">
      <c r="C438" s="12"/>
      <c r="I438" s="12" t="str">
        <f t="shared" si="6"/>
        <v/>
      </c>
      <c r="J438" s="12" t="str">
        <f t="shared" si="7"/>
        <v/>
      </c>
      <c r="K438" s="12" t="str">
        <f t="shared" si="8"/>
        <v/>
      </c>
      <c r="L438" s="12" t="str">
        <f t="shared" si="9"/>
        <v/>
      </c>
      <c r="M438" s="12" t="str">
        <f t="shared" si="5"/>
        <v/>
      </c>
    </row>
    <row r="439" ht="15.75" customHeight="1">
      <c r="C439" s="12"/>
      <c r="I439" s="12" t="str">
        <f t="shared" si="6"/>
        <v/>
      </c>
      <c r="J439" s="12" t="str">
        <f t="shared" si="7"/>
        <v/>
      </c>
      <c r="K439" s="12" t="str">
        <f t="shared" si="8"/>
        <v/>
      </c>
      <c r="L439" s="12" t="str">
        <f t="shared" si="9"/>
        <v/>
      </c>
      <c r="M439" s="12" t="str">
        <f t="shared" si="5"/>
        <v/>
      </c>
    </row>
    <row r="440" ht="15.75" customHeight="1">
      <c r="C440" s="12"/>
      <c r="I440" s="12" t="str">
        <f t="shared" si="6"/>
        <v/>
      </c>
      <c r="J440" s="12" t="str">
        <f t="shared" si="7"/>
        <v/>
      </c>
      <c r="K440" s="12" t="str">
        <f t="shared" si="8"/>
        <v/>
      </c>
      <c r="L440" s="12" t="str">
        <f t="shared" si="9"/>
        <v/>
      </c>
      <c r="M440" s="12" t="str">
        <f t="shared" si="5"/>
        <v/>
      </c>
    </row>
    <row r="441" ht="15.75" customHeight="1">
      <c r="C441" s="12"/>
      <c r="I441" s="12" t="str">
        <f t="shared" si="6"/>
        <v/>
      </c>
      <c r="J441" s="12" t="str">
        <f t="shared" si="7"/>
        <v/>
      </c>
      <c r="K441" s="12" t="str">
        <f t="shared" si="8"/>
        <v/>
      </c>
      <c r="L441" s="12" t="str">
        <f t="shared" si="9"/>
        <v/>
      </c>
      <c r="M441" s="12" t="str">
        <f t="shared" si="5"/>
        <v/>
      </c>
    </row>
    <row r="442" ht="15.75" customHeight="1">
      <c r="C442" s="12"/>
      <c r="I442" s="12" t="str">
        <f t="shared" si="6"/>
        <v/>
      </c>
      <c r="J442" s="12" t="str">
        <f t="shared" si="7"/>
        <v/>
      </c>
      <c r="K442" s="12" t="str">
        <f t="shared" si="8"/>
        <v/>
      </c>
      <c r="L442" s="12" t="str">
        <f t="shared" si="9"/>
        <v/>
      </c>
      <c r="M442" s="12" t="str">
        <f t="shared" si="5"/>
        <v/>
      </c>
    </row>
    <row r="443" ht="15.75" customHeight="1">
      <c r="C443" s="12"/>
      <c r="I443" s="12" t="str">
        <f t="shared" si="6"/>
        <v/>
      </c>
      <c r="J443" s="12" t="str">
        <f t="shared" si="7"/>
        <v/>
      </c>
      <c r="K443" s="12" t="str">
        <f t="shared" si="8"/>
        <v/>
      </c>
      <c r="L443" s="12" t="str">
        <f t="shared" si="9"/>
        <v/>
      </c>
      <c r="M443" s="12" t="str">
        <f t="shared" si="5"/>
        <v/>
      </c>
    </row>
    <row r="444" ht="15.75" customHeight="1">
      <c r="C444" s="12"/>
      <c r="I444" s="12" t="str">
        <f t="shared" si="6"/>
        <v/>
      </c>
      <c r="J444" s="12" t="str">
        <f t="shared" si="7"/>
        <v/>
      </c>
      <c r="K444" s="12" t="str">
        <f t="shared" si="8"/>
        <v/>
      </c>
      <c r="L444" s="12" t="str">
        <f t="shared" si="9"/>
        <v/>
      </c>
      <c r="M444" s="12" t="str">
        <f t="shared" si="5"/>
        <v/>
      </c>
    </row>
    <row r="445" ht="15.75" customHeight="1">
      <c r="C445" s="12"/>
      <c r="I445" s="12" t="str">
        <f t="shared" si="6"/>
        <v/>
      </c>
      <c r="J445" s="12" t="str">
        <f t="shared" si="7"/>
        <v/>
      </c>
      <c r="K445" s="12" t="str">
        <f t="shared" si="8"/>
        <v/>
      </c>
      <c r="L445" s="12" t="str">
        <f t="shared" si="9"/>
        <v/>
      </c>
      <c r="M445" s="12" t="str">
        <f t="shared" si="5"/>
        <v/>
      </c>
    </row>
    <row r="446" ht="15.75" customHeight="1">
      <c r="C446" s="12"/>
      <c r="I446" s="12" t="str">
        <f t="shared" si="6"/>
        <v/>
      </c>
      <c r="J446" s="12" t="str">
        <f t="shared" si="7"/>
        <v/>
      </c>
      <c r="K446" s="12" t="str">
        <f t="shared" si="8"/>
        <v/>
      </c>
      <c r="L446" s="12" t="str">
        <f t="shared" si="9"/>
        <v/>
      </c>
      <c r="M446" s="12" t="str">
        <f t="shared" si="5"/>
        <v/>
      </c>
    </row>
    <row r="447" ht="15.75" customHeight="1">
      <c r="C447" s="12"/>
      <c r="I447" s="12" t="str">
        <f t="shared" si="6"/>
        <v/>
      </c>
      <c r="J447" s="12" t="str">
        <f t="shared" si="7"/>
        <v/>
      </c>
      <c r="K447" s="12" t="str">
        <f t="shared" si="8"/>
        <v/>
      </c>
      <c r="L447" s="12" t="str">
        <f t="shared" si="9"/>
        <v/>
      </c>
      <c r="M447" s="12" t="str">
        <f t="shared" si="5"/>
        <v/>
      </c>
    </row>
    <row r="448" ht="15.75" customHeight="1">
      <c r="C448" s="12"/>
      <c r="I448" s="12" t="str">
        <f t="shared" si="6"/>
        <v/>
      </c>
      <c r="J448" s="12" t="str">
        <f t="shared" si="7"/>
        <v/>
      </c>
      <c r="K448" s="12" t="str">
        <f t="shared" si="8"/>
        <v/>
      </c>
      <c r="L448" s="12" t="str">
        <f t="shared" si="9"/>
        <v/>
      </c>
      <c r="M448" s="12" t="str">
        <f t="shared" si="5"/>
        <v/>
      </c>
    </row>
    <row r="449" ht="15.75" customHeight="1">
      <c r="C449" s="12"/>
      <c r="I449" s="12" t="str">
        <f t="shared" si="6"/>
        <v/>
      </c>
      <c r="J449" s="12" t="str">
        <f t="shared" si="7"/>
        <v/>
      </c>
      <c r="K449" s="12" t="str">
        <f t="shared" si="8"/>
        <v/>
      </c>
      <c r="L449" s="12" t="str">
        <f t="shared" si="9"/>
        <v/>
      </c>
      <c r="M449" s="12" t="str">
        <f t="shared" si="5"/>
        <v/>
      </c>
    </row>
    <row r="450" ht="15.75" customHeight="1">
      <c r="C450" s="12"/>
      <c r="I450" s="12" t="str">
        <f t="shared" si="6"/>
        <v/>
      </c>
      <c r="J450" s="12" t="str">
        <f t="shared" si="7"/>
        <v/>
      </c>
      <c r="K450" s="12" t="str">
        <f t="shared" si="8"/>
        <v/>
      </c>
      <c r="L450" s="12" t="str">
        <f t="shared" si="9"/>
        <v/>
      </c>
      <c r="M450" s="12" t="str">
        <f t="shared" si="5"/>
        <v/>
      </c>
    </row>
    <row r="451" ht="15.75" customHeight="1">
      <c r="C451" s="12"/>
      <c r="I451" s="12" t="str">
        <f t="shared" si="6"/>
        <v/>
      </c>
      <c r="J451" s="12" t="str">
        <f t="shared" si="7"/>
        <v/>
      </c>
      <c r="K451" s="12" t="str">
        <f t="shared" si="8"/>
        <v/>
      </c>
      <c r="L451" s="12" t="str">
        <f t="shared" si="9"/>
        <v/>
      </c>
      <c r="M451" s="12" t="str">
        <f t="shared" si="5"/>
        <v/>
      </c>
    </row>
    <row r="452" ht="15.75" customHeight="1">
      <c r="C452" s="12"/>
      <c r="I452" s="12" t="str">
        <f t="shared" si="6"/>
        <v/>
      </c>
      <c r="J452" s="12" t="str">
        <f t="shared" si="7"/>
        <v/>
      </c>
      <c r="K452" s="12" t="str">
        <f t="shared" si="8"/>
        <v/>
      </c>
      <c r="L452" s="12" t="str">
        <f t="shared" si="9"/>
        <v/>
      </c>
      <c r="M452" s="12" t="str">
        <f t="shared" si="5"/>
        <v/>
      </c>
    </row>
    <row r="453" ht="15.75" customHeight="1">
      <c r="C453" s="12"/>
      <c r="I453" s="12" t="str">
        <f t="shared" si="6"/>
        <v/>
      </c>
      <c r="J453" s="12" t="str">
        <f t="shared" si="7"/>
        <v/>
      </c>
      <c r="K453" s="12" t="str">
        <f t="shared" si="8"/>
        <v/>
      </c>
      <c r="L453" s="12" t="str">
        <f t="shared" si="9"/>
        <v/>
      </c>
      <c r="M453" s="12" t="str">
        <f t="shared" si="5"/>
        <v/>
      </c>
    </row>
    <row r="454" ht="15.75" customHeight="1">
      <c r="C454" s="12"/>
      <c r="I454" s="12" t="str">
        <f t="shared" si="6"/>
        <v/>
      </c>
      <c r="J454" s="12" t="str">
        <f t="shared" si="7"/>
        <v/>
      </c>
      <c r="K454" s="12" t="str">
        <f t="shared" si="8"/>
        <v/>
      </c>
      <c r="L454" s="12" t="str">
        <f t="shared" si="9"/>
        <v/>
      </c>
      <c r="M454" s="12" t="str">
        <f t="shared" si="5"/>
        <v/>
      </c>
    </row>
    <row r="455" ht="15.75" customHeight="1">
      <c r="C455" s="12"/>
      <c r="I455" s="12" t="str">
        <f t="shared" si="6"/>
        <v/>
      </c>
      <c r="J455" s="12" t="str">
        <f t="shared" si="7"/>
        <v/>
      </c>
      <c r="K455" s="12" t="str">
        <f t="shared" si="8"/>
        <v/>
      </c>
      <c r="L455" s="12" t="str">
        <f t="shared" si="9"/>
        <v/>
      </c>
      <c r="M455" s="12" t="str">
        <f t="shared" si="5"/>
        <v/>
      </c>
    </row>
    <row r="456" ht="15.75" customHeight="1">
      <c r="C456" s="12"/>
      <c r="I456" s="12" t="str">
        <f t="shared" si="6"/>
        <v/>
      </c>
      <c r="J456" s="12" t="str">
        <f t="shared" si="7"/>
        <v/>
      </c>
      <c r="K456" s="12" t="str">
        <f t="shared" si="8"/>
        <v/>
      </c>
      <c r="L456" s="12" t="str">
        <f t="shared" si="9"/>
        <v/>
      </c>
      <c r="M456" s="12" t="str">
        <f t="shared" si="5"/>
        <v/>
      </c>
    </row>
    <row r="457" ht="15.75" customHeight="1">
      <c r="C457" s="12"/>
      <c r="I457" s="12" t="str">
        <f t="shared" si="6"/>
        <v/>
      </c>
      <c r="J457" s="12" t="str">
        <f t="shared" si="7"/>
        <v/>
      </c>
      <c r="K457" s="12" t="str">
        <f t="shared" si="8"/>
        <v/>
      </c>
      <c r="L457" s="12" t="str">
        <f t="shared" si="9"/>
        <v/>
      </c>
      <c r="M457" s="12" t="str">
        <f t="shared" si="5"/>
        <v/>
      </c>
    </row>
    <row r="458" ht="15.75" customHeight="1">
      <c r="C458" s="12"/>
      <c r="I458" s="12" t="str">
        <f t="shared" si="6"/>
        <v/>
      </c>
      <c r="J458" s="12" t="str">
        <f t="shared" si="7"/>
        <v/>
      </c>
      <c r="K458" s="12" t="str">
        <f t="shared" si="8"/>
        <v/>
      </c>
      <c r="L458" s="12" t="str">
        <f t="shared" si="9"/>
        <v/>
      </c>
      <c r="M458" s="12" t="str">
        <f t="shared" si="5"/>
        <v/>
      </c>
    </row>
    <row r="459" ht="15.75" customHeight="1">
      <c r="C459" s="12"/>
      <c r="I459" s="12" t="str">
        <f t="shared" si="6"/>
        <v/>
      </c>
      <c r="J459" s="12" t="str">
        <f t="shared" si="7"/>
        <v/>
      </c>
      <c r="K459" s="12" t="str">
        <f t="shared" si="8"/>
        <v/>
      </c>
      <c r="L459" s="12" t="str">
        <f t="shared" si="9"/>
        <v/>
      </c>
      <c r="M459" s="12" t="str">
        <f t="shared" si="5"/>
        <v/>
      </c>
    </row>
    <row r="460" ht="15.75" customHeight="1">
      <c r="C460" s="12"/>
      <c r="I460" s="12" t="str">
        <f t="shared" si="6"/>
        <v/>
      </c>
      <c r="J460" s="12" t="str">
        <f t="shared" si="7"/>
        <v/>
      </c>
      <c r="K460" s="12" t="str">
        <f t="shared" si="8"/>
        <v/>
      </c>
      <c r="L460" s="12" t="str">
        <f t="shared" si="9"/>
        <v/>
      </c>
      <c r="M460" s="12" t="str">
        <f t="shared" si="5"/>
        <v/>
      </c>
    </row>
    <row r="461" ht="15.75" customHeight="1">
      <c r="C461" s="12"/>
      <c r="I461" s="12" t="str">
        <f t="shared" si="6"/>
        <v/>
      </c>
      <c r="J461" s="12" t="str">
        <f t="shared" si="7"/>
        <v/>
      </c>
      <c r="K461" s="12" t="str">
        <f t="shared" si="8"/>
        <v/>
      </c>
      <c r="L461" s="12" t="str">
        <f t="shared" si="9"/>
        <v/>
      </c>
      <c r="M461" s="12" t="str">
        <f t="shared" si="5"/>
        <v/>
      </c>
    </row>
    <row r="462" ht="15.75" customHeight="1">
      <c r="C462" s="12"/>
      <c r="I462" s="12" t="str">
        <f t="shared" si="6"/>
        <v/>
      </c>
      <c r="J462" s="12" t="str">
        <f t="shared" si="7"/>
        <v/>
      </c>
      <c r="K462" s="12" t="str">
        <f t="shared" si="8"/>
        <v/>
      </c>
      <c r="L462" s="12" t="str">
        <f t="shared" si="9"/>
        <v/>
      </c>
      <c r="M462" s="12" t="str">
        <f t="shared" si="5"/>
        <v/>
      </c>
    </row>
    <row r="463" ht="15.75" customHeight="1">
      <c r="C463" s="12"/>
      <c r="I463" s="12" t="str">
        <f t="shared" si="6"/>
        <v/>
      </c>
      <c r="J463" s="12" t="str">
        <f t="shared" si="7"/>
        <v/>
      </c>
      <c r="K463" s="12" t="str">
        <f t="shared" si="8"/>
        <v/>
      </c>
      <c r="L463" s="12" t="str">
        <f t="shared" si="9"/>
        <v/>
      </c>
      <c r="M463" s="12" t="str">
        <f t="shared" si="5"/>
        <v/>
      </c>
    </row>
    <row r="464" ht="15.75" customHeight="1">
      <c r="C464" s="12"/>
      <c r="I464" s="12" t="str">
        <f t="shared" si="6"/>
        <v/>
      </c>
      <c r="J464" s="12" t="str">
        <f t="shared" si="7"/>
        <v/>
      </c>
      <c r="K464" s="12" t="str">
        <f t="shared" si="8"/>
        <v/>
      </c>
      <c r="L464" s="12" t="str">
        <f t="shared" si="9"/>
        <v/>
      </c>
      <c r="M464" s="12" t="str">
        <f t="shared" si="5"/>
        <v/>
      </c>
    </row>
    <row r="465" ht="15.75" customHeight="1">
      <c r="C465" s="12"/>
      <c r="I465" s="12" t="str">
        <f t="shared" si="6"/>
        <v/>
      </c>
      <c r="J465" s="12" t="str">
        <f t="shared" si="7"/>
        <v/>
      </c>
      <c r="K465" s="12" t="str">
        <f t="shared" si="8"/>
        <v/>
      </c>
      <c r="L465" s="12" t="str">
        <f t="shared" si="9"/>
        <v/>
      </c>
      <c r="M465" s="12" t="str">
        <f t="shared" si="5"/>
        <v/>
      </c>
    </row>
    <row r="466" ht="15.75" customHeight="1">
      <c r="C466" s="12"/>
      <c r="I466" s="12" t="str">
        <f t="shared" si="6"/>
        <v/>
      </c>
      <c r="J466" s="12" t="str">
        <f t="shared" si="7"/>
        <v/>
      </c>
      <c r="K466" s="12" t="str">
        <f t="shared" si="8"/>
        <v/>
      </c>
      <c r="L466" s="12" t="str">
        <f t="shared" si="9"/>
        <v/>
      </c>
      <c r="M466" s="12" t="str">
        <f t="shared" si="5"/>
        <v/>
      </c>
    </row>
    <row r="467" ht="15.75" customHeight="1">
      <c r="C467" s="12"/>
      <c r="I467" s="12" t="str">
        <f t="shared" si="6"/>
        <v/>
      </c>
      <c r="J467" s="12" t="str">
        <f t="shared" si="7"/>
        <v/>
      </c>
      <c r="K467" s="12" t="str">
        <f t="shared" si="8"/>
        <v/>
      </c>
      <c r="L467" s="12" t="str">
        <f t="shared" si="9"/>
        <v/>
      </c>
      <c r="M467" s="12" t="str">
        <f t="shared" si="5"/>
        <v/>
      </c>
    </row>
    <row r="468" ht="15.75" customHeight="1">
      <c r="C468" s="12"/>
      <c r="I468" s="12" t="str">
        <f t="shared" si="6"/>
        <v/>
      </c>
      <c r="J468" s="12" t="str">
        <f t="shared" si="7"/>
        <v/>
      </c>
      <c r="K468" s="12" t="str">
        <f t="shared" si="8"/>
        <v/>
      </c>
      <c r="L468" s="12" t="str">
        <f t="shared" si="9"/>
        <v/>
      </c>
      <c r="M468" s="12" t="str">
        <f t="shared" si="5"/>
        <v/>
      </c>
    </row>
    <row r="469" ht="15.75" customHeight="1">
      <c r="C469" s="12"/>
      <c r="I469" s="12" t="str">
        <f t="shared" si="6"/>
        <v/>
      </c>
      <c r="J469" s="12" t="str">
        <f t="shared" si="7"/>
        <v/>
      </c>
      <c r="K469" s="12" t="str">
        <f t="shared" si="8"/>
        <v/>
      </c>
      <c r="L469" s="12" t="str">
        <f t="shared" si="9"/>
        <v/>
      </c>
      <c r="M469" s="12" t="str">
        <f t="shared" si="5"/>
        <v/>
      </c>
    </row>
    <row r="470" ht="15.75" customHeight="1">
      <c r="C470" s="12"/>
      <c r="I470" s="12" t="str">
        <f t="shared" si="6"/>
        <v/>
      </c>
      <c r="J470" s="12" t="str">
        <f t="shared" si="7"/>
        <v/>
      </c>
      <c r="K470" s="12" t="str">
        <f t="shared" si="8"/>
        <v/>
      </c>
      <c r="L470" s="12" t="str">
        <f t="shared" si="9"/>
        <v/>
      </c>
      <c r="M470" s="12" t="str">
        <f t="shared" si="5"/>
        <v/>
      </c>
    </row>
    <row r="471" ht="15.75" customHeight="1">
      <c r="C471" s="12"/>
      <c r="I471" s="12" t="str">
        <f t="shared" si="6"/>
        <v/>
      </c>
      <c r="J471" s="12" t="str">
        <f t="shared" si="7"/>
        <v/>
      </c>
      <c r="K471" s="12" t="str">
        <f t="shared" si="8"/>
        <v/>
      </c>
      <c r="L471" s="12" t="str">
        <f t="shared" si="9"/>
        <v/>
      </c>
      <c r="M471" s="12" t="str">
        <f t="shared" si="5"/>
        <v/>
      </c>
    </row>
    <row r="472" ht="15.75" customHeight="1">
      <c r="C472" s="12"/>
      <c r="I472" s="12" t="str">
        <f t="shared" si="6"/>
        <v/>
      </c>
      <c r="J472" s="12" t="str">
        <f t="shared" si="7"/>
        <v/>
      </c>
      <c r="K472" s="12" t="str">
        <f t="shared" si="8"/>
        <v/>
      </c>
      <c r="L472" s="12" t="str">
        <f t="shared" si="9"/>
        <v/>
      </c>
      <c r="M472" s="12" t="str">
        <f t="shared" si="5"/>
        <v/>
      </c>
    </row>
    <row r="473" ht="15.75" customHeight="1">
      <c r="C473" s="12"/>
      <c r="I473" s="12" t="str">
        <f t="shared" si="6"/>
        <v/>
      </c>
      <c r="J473" s="12" t="str">
        <f t="shared" si="7"/>
        <v/>
      </c>
      <c r="K473" s="12" t="str">
        <f t="shared" si="8"/>
        <v/>
      </c>
      <c r="L473" s="12" t="str">
        <f t="shared" si="9"/>
        <v/>
      </c>
      <c r="M473" s="12" t="str">
        <f t="shared" si="5"/>
        <v/>
      </c>
    </row>
    <row r="474" ht="15.75" customHeight="1">
      <c r="C474" s="12"/>
      <c r="I474" s="12" t="str">
        <f t="shared" si="6"/>
        <v/>
      </c>
      <c r="J474" s="12" t="str">
        <f t="shared" si="7"/>
        <v/>
      </c>
      <c r="K474" s="12" t="str">
        <f t="shared" si="8"/>
        <v/>
      </c>
      <c r="L474" s="12" t="str">
        <f t="shared" si="9"/>
        <v/>
      </c>
      <c r="M474" s="12" t="str">
        <f t="shared" si="5"/>
        <v/>
      </c>
    </row>
    <row r="475" ht="15.75" customHeight="1">
      <c r="C475" s="12"/>
      <c r="I475" s="12" t="str">
        <f t="shared" si="6"/>
        <v/>
      </c>
      <c r="J475" s="12" t="str">
        <f t="shared" si="7"/>
        <v/>
      </c>
      <c r="K475" s="12" t="str">
        <f t="shared" si="8"/>
        <v/>
      </c>
      <c r="L475" s="12" t="str">
        <f t="shared" si="9"/>
        <v/>
      </c>
      <c r="M475" s="12" t="str">
        <f t="shared" si="5"/>
        <v/>
      </c>
    </row>
    <row r="476" ht="15.75" customHeight="1">
      <c r="C476" s="12"/>
      <c r="I476" s="12" t="str">
        <f t="shared" si="6"/>
        <v/>
      </c>
      <c r="J476" s="12" t="str">
        <f t="shared" si="7"/>
        <v/>
      </c>
      <c r="K476" s="12" t="str">
        <f t="shared" si="8"/>
        <v/>
      </c>
      <c r="L476" s="12" t="str">
        <f t="shared" si="9"/>
        <v/>
      </c>
      <c r="M476" s="12" t="str">
        <f t="shared" si="5"/>
        <v/>
      </c>
    </row>
    <row r="477" ht="15.75" customHeight="1">
      <c r="C477" s="12"/>
      <c r="I477" s="12" t="str">
        <f t="shared" si="6"/>
        <v/>
      </c>
      <c r="J477" s="12" t="str">
        <f t="shared" si="7"/>
        <v/>
      </c>
      <c r="K477" s="12" t="str">
        <f t="shared" si="8"/>
        <v/>
      </c>
      <c r="L477" s="12" t="str">
        <f t="shared" si="9"/>
        <v/>
      </c>
      <c r="M477" s="12" t="str">
        <f t="shared" si="5"/>
        <v/>
      </c>
    </row>
    <row r="478" ht="15.75" customHeight="1">
      <c r="C478" s="12"/>
      <c r="I478" s="12" t="str">
        <f t="shared" si="6"/>
        <v/>
      </c>
      <c r="J478" s="12" t="str">
        <f t="shared" si="7"/>
        <v/>
      </c>
      <c r="K478" s="12" t="str">
        <f t="shared" si="8"/>
        <v/>
      </c>
      <c r="L478" s="12" t="str">
        <f t="shared" si="9"/>
        <v/>
      </c>
      <c r="M478" s="12" t="str">
        <f t="shared" si="5"/>
        <v/>
      </c>
    </row>
    <row r="479" ht="15.75" customHeight="1">
      <c r="C479" s="12"/>
      <c r="I479" s="12" t="str">
        <f t="shared" si="6"/>
        <v/>
      </c>
      <c r="J479" s="12" t="str">
        <f t="shared" si="7"/>
        <v/>
      </c>
      <c r="K479" s="12" t="str">
        <f t="shared" si="8"/>
        <v/>
      </c>
      <c r="L479" s="12" t="str">
        <f t="shared" si="9"/>
        <v/>
      </c>
      <c r="M479" s="12" t="str">
        <f t="shared" si="5"/>
        <v/>
      </c>
    </row>
    <row r="480" ht="15.75" customHeight="1">
      <c r="C480" s="12"/>
      <c r="I480" s="12" t="str">
        <f t="shared" si="6"/>
        <v/>
      </c>
      <c r="J480" s="12" t="str">
        <f t="shared" si="7"/>
        <v/>
      </c>
      <c r="K480" s="12" t="str">
        <f t="shared" si="8"/>
        <v/>
      </c>
      <c r="L480" s="12" t="str">
        <f t="shared" si="9"/>
        <v/>
      </c>
      <c r="M480" s="12" t="str">
        <f t="shared" si="5"/>
        <v/>
      </c>
    </row>
    <row r="481" ht="15.75" customHeight="1">
      <c r="C481" s="12"/>
      <c r="I481" s="12" t="str">
        <f t="shared" si="6"/>
        <v/>
      </c>
      <c r="J481" s="12" t="str">
        <f t="shared" si="7"/>
        <v/>
      </c>
      <c r="K481" s="12" t="str">
        <f t="shared" si="8"/>
        <v/>
      </c>
      <c r="L481" s="12" t="str">
        <f t="shared" si="9"/>
        <v/>
      </c>
      <c r="M481" s="12" t="str">
        <f t="shared" si="5"/>
        <v/>
      </c>
    </row>
    <row r="482" ht="15.75" customHeight="1">
      <c r="C482" s="12"/>
      <c r="I482" s="12" t="str">
        <f t="shared" si="6"/>
        <v/>
      </c>
      <c r="J482" s="12" t="str">
        <f t="shared" si="7"/>
        <v/>
      </c>
      <c r="K482" s="12" t="str">
        <f t="shared" si="8"/>
        <v/>
      </c>
      <c r="L482" s="12" t="str">
        <f t="shared" si="9"/>
        <v/>
      </c>
      <c r="M482" s="12" t="str">
        <f t="shared" si="5"/>
        <v/>
      </c>
    </row>
    <row r="483" ht="15.75" customHeight="1">
      <c r="C483" s="12"/>
      <c r="I483" s="12" t="str">
        <f t="shared" si="6"/>
        <v/>
      </c>
      <c r="J483" s="12" t="str">
        <f t="shared" si="7"/>
        <v/>
      </c>
      <c r="K483" s="12" t="str">
        <f t="shared" si="8"/>
        <v/>
      </c>
      <c r="L483" s="12" t="str">
        <f t="shared" si="9"/>
        <v/>
      </c>
      <c r="M483" s="12" t="str">
        <f t="shared" si="5"/>
        <v/>
      </c>
    </row>
    <row r="484" ht="15.75" customHeight="1">
      <c r="C484" s="12"/>
      <c r="I484" s="12" t="str">
        <f t="shared" si="6"/>
        <v/>
      </c>
      <c r="J484" s="12" t="str">
        <f t="shared" si="7"/>
        <v/>
      </c>
      <c r="K484" s="12" t="str">
        <f t="shared" si="8"/>
        <v/>
      </c>
      <c r="L484" s="12" t="str">
        <f t="shared" si="9"/>
        <v/>
      </c>
      <c r="M484" s="12" t="str">
        <f t="shared" si="5"/>
        <v/>
      </c>
    </row>
    <row r="485" ht="15.75" customHeight="1">
      <c r="C485" s="12"/>
      <c r="I485" s="12" t="str">
        <f t="shared" si="6"/>
        <v/>
      </c>
      <c r="J485" s="12" t="str">
        <f t="shared" si="7"/>
        <v/>
      </c>
      <c r="K485" s="12" t="str">
        <f t="shared" si="8"/>
        <v/>
      </c>
      <c r="L485" s="12" t="str">
        <f t="shared" si="9"/>
        <v/>
      </c>
      <c r="M485" s="12" t="str">
        <f t="shared" si="5"/>
        <v/>
      </c>
    </row>
    <row r="486" ht="15.75" customHeight="1">
      <c r="C486" s="12"/>
      <c r="I486" s="12" t="str">
        <f t="shared" si="6"/>
        <v/>
      </c>
      <c r="J486" s="12" t="str">
        <f t="shared" si="7"/>
        <v/>
      </c>
      <c r="K486" s="12" t="str">
        <f t="shared" si="8"/>
        <v/>
      </c>
      <c r="L486" s="12" t="str">
        <f t="shared" si="9"/>
        <v/>
      </c>
      <c r="M486" s="12" t="str">
        <f t="shared" si="5"/>
        <v/>
      </c>
    </row>
    <row r="487" ht="15.75" customHeight="1">
      <c r="C487" s="12"/>
      <c r="I487" s="12" t="str">
        <f t="shared" si="6"/>
        <v/>
      </c>
      <c r="J487" s="12" t="str">
        <f t="shared" si="7"/>
        <v/>
      </c>
      <c r="K487" s="12" t="str">
        <f t="shared" si="8"/>
        <v/>
      </c>
      <c r="L487" s="12" t="str">
        <f t="shared" si="9"/>
        <v/>
      </c>
      <c r="M487" s="12" t="str">
        <f t="shared" si="5"/>
        <v/>
      </c>
    </row>
    <row r="488" ht="15.75" customHeight="1">
      <c r="C488" s="12"/>
      <c r="I488" s="12" t="str">
        <f t="shared" si="6"/>
        <v/>
      </c>
      <c r="J488" s="12" t="str">
        <f t="shared" si="7"/>
        <v/>
      </c>
      <c r="K488" s="12" t="str">
        <f t="shared" si="8"/>
        <v/>
      </c>
      <c r="L488" s="12" t="str">
        <f t="shared" si="9"/>
        <v/>
      </c>
      <c r="M488" s="12" t="str">
        <f t="shared" si="5"/>
        <v/>
      </c>
    </row>
    <row r="489" ht="15.75" customHeight="1">
      <c r="C489" s="12"/>
      <c r="I489" s="12" t="str">
        <f t="shared" si="6"/>
        <v/>
      </c>
      <c r="J489" s="12" t="str">
        <f t="shared" si="7"/>
        <v/>
      </c>
      <c r="K489" s="12" t="str">
        <f t="shared" si="8"/>
        <v/>
      </c>
      <c r="L489" s="12" t="str">
        <f t="shared" si="9"/>
        <v/>
      </c>
      <c r="M489" s="12" t="str">
        <f t="shared" si="5"/>
        <v/>
      </c>
    </row>
    <row r="490" ht="15.75" customHeight="1">
      <c r="C490" s="12"/>
      <c r="I490" s="12" t="str">
        <f t="shared" si="6"/>
        <v/>
      </c>
      <c r="J490" s="12" t="str">
        <f t="shared" si="7"/>
        <v/>
      </c>
      <c r="K490" s="12" t="str">
        <f t="shared" si="8"/>
        <v/>
      </c>
      <c r="L490" s="12" t="str">
        <f t="shared" si="9"/>
        <v/>
      </c>
      <c r="M490" s="12" t="str">
        <f t="shared" si="5"/>
        <v/>
      </c>
    </row>
    <row r="491" ht="15.75" customHeight="1">
      <c r="C491" s="12"/>
      <c r="I491" s="12" t="str">
        <f t="shared" si="6"/>
        <v/>
      </c>
      <c r="J491" s="12" t="str">
        <f t="shared" si="7"/>
        <v/>
      </c>
      <c r="K491" s="12" t="str">
        <f t="shared" si="8"/>
        <v/>
      </c>
      <c r="L491" s="12" t="str">
        <f t="shared" si="9"/>
        <v/>
      </c>
      <c r="M491" s="12" t="str">
        <f t="shared" si="5"/>
        <v/>
      </c>
    </row>
    <row r="492" ht="15.75" customHeight="1">
      <c r="C492" s="12"/>
      <c r="I492" s="12" t="str">
        <f t="shared" si="6"/>
        <v/>
      </c>
      <c r="J492" s="12" t="str">
        <f t="shared" si="7"/>
        <v/>
      </c>
      <c r="K492" s="12" t="str">
        <f t="shared" si="8"/>
        <v/>
      </c>
      <c r="L492" s="12" t="str">
        <f t="shared" si="9"/>
        <v/>
      </c>
      <c r="M492" s="12" t="str">
        <f t="shared" si="5"/>
        <v/>
      </c>
    </row>
    <row r="493" ht="15.75" customHeight="1">
      <c r="C493" s="12"/>
      <c r="I493" s="12" t="str">
        <f t="shared" si="6"/>
        <v/>
      </c>
      <c r="J493" s="12" t="str">
        <f t="shared" si="7"/>
        <v/>
      </c>
      <c r="K493" s="12" t="str">
        <f t="shared" si="8"/>
        <v/>
      </c>
      <c r="L493" s="12" t="str">
        <f t="shared" si="9"/>
        <v/>
      </c>
      <c r="M493" s="12" t="str">
        <f t="shared" si="5"/>
        <v/>
      </c>
    </row>
    <row r="494" ht="15.75" customHeight="1">
      <c r="C494" s="12"/>
      <c r="I494" s="12" t="str">
        <f t="shared" si="6"/>
        <v/>
      </c>
      <c r="J494" s="12" t="str">
        <f t="shared" si="7"/>
        <v/>
      </c>
      <c r="K494" s="12" t="str">
        <f t="shared" si="8"/>
        <v/>
      </c>
      <c r="L494" s="12" t="str">
        <f t="shared" si="9"/>
        <v/>
      </c>
      <c r="M494" s="12" t="str">
        <f t="shared" si="5"/>
        <v/>
      </c>
    </row>
    <row r="495" ht="15.75" customHeight="1">
      <c r="C495" s="12"/>
      <c r="I495" s="12" t="str">
        <f t="shared" si="6"/>
        <v/>
      </c>
      <c r="J495" s="12" t="str">
        <f t="shared" si="7"/>
        <v/>
      </c>
      <c r="K495" s="12" t="str">
        <f t="shared" si="8"/>
        <v/>
      </c>
      <c r="L495" s="12" t="str">
        <f t="shared" si="9"/>
        <v/>
      </c>
      <c r="M495" s="12" t="str">
        <f t="shared" si="5"/>
        <v/>
      </c>
    </row>
    <row r="496" ht="15.75" customHeight="1">
      <c r="C496" s="12"/>
      <c r="I496" s="12" t="str">
        <f t="shared" si="6"/>
        <v/>
      </c>
      <c r="J496" s="12" t="str">
        <f t="shared" si="7"/>
        <v/>
      </c>
      <c r="K496" s="12" t="str">
        <f t="shared" si="8"/>
        <v/>
      </c>
      <c r="L496" s="12" t="str">
        <f t="shared" si="9"/>
        <v/>
      </c>
      <c r="M496" s="12" t="str">
        <f t="shared" si="5"/>
        <v/>
      </c>
    </row>
    <row r="497" ht="15.75" customHeight="1">
      <c r="C497" s="12"/>
      <c r="I497" s="12" t="str">
        <f t="shared" si="6"/>
        <v/>
      </c>
      <c r="J497" s="12" t="str">
        <f t="shared" si="7"/>
        <v/>
      </c>
      <c r="K497" s="12" t="str">
        <f t="shared" si="8"/>
        <v/>
      </c>
      <c r="L497" s="12" t="str">
        <f t="shared" si="9"/>
        <v/>
      </c>
      <c r="M497" s="12" t="str">
        <f t="shared" si="5"/>
        <v/>
      </c>
    </row>
    <row r="498" ht="15.75" customHeight="1">
      <c r="C498" s="12"/>
      <c r="I498" s="12" t="str">
        <f t="shared" si="6"/>
        <v/>
      </c>
      <c r="J498" s="12" t="str">
        <f t="shared" si="7"/>
        <v/>
      </c>
      <c r="K498" s="12" t="str">
        <f t="shared" si="8"/>
        <v/>
      </c>
      <c r="L498" s="12" t="str">
        <f t="shared" si="9"/>
        <v/>
      </c>
      <c r="M498" s="12" t="str">
        <f t="shared" si="5"/>
        <v/>
      </c>
    </row>
    <row r="499" ht="15.75" customHeight="1">
      <c r="C499" s="12"/>
      <c r="I499" s="12" t="str">
        <f t="shared" si="6"/>
        <v/>
      </c>
      <c r="J499" s="12" t="str">
        <f t="shared" si="7"/>
        <v/>
      </c>
      <c r="K499" s="12" t="str">
        <f t="shared" si="8"/>
        <v/>
      </c>
      <c r="L499" s="12" t="str">
        <f t="shared" si="9"/>
        <v/>
      </c>
      <c r="M499" s="12" t="str">
        <f t="shared" si="5"/>
        <v/>
      </c>
    </row>
    <row r="500" ht="15.75" customHeight="1">
      <c r="C500" s="12"/>
      <c r="I500" s="12" t="str">
        <f t="shared" si="6"/>
        <v/>
      </c>
      <c r="J500" s="12" t="str">
        <f t="shared" si="7"/>
        <v/>
      </c>
      <c r="K500" s="12" t="str">
        <f t="shared" si="8"/>
        <v/>
      </c>
      <c r="L500" s="12" t="str">
        <f t="shared" si="9"/>
        <v/>
      </c>
      <c r="M500" s="12" t="str">
        <f t="shared" si="5"/>
        <v/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K2:K500">
    <cfRule type="cellIs" dxfId="0" priority="1" operator="greaterThan">
      <formula>0</formula>
    </cfRule>
  </conditionalFormatting>
  <conditionalFormatting sqref="K2:K500">
    <cfRule type="cellIs" dxfId="1" priority="2" operator="lessThan">
      <formula>0</formula>
    </cfRule>
  </conditionalFormatting>
  <dataValidations>
    <dataValidation type="list" allowBlank="1" sqref="M2:M500">
      <formula1>"Short Term,Long Term"</formula1>
    </dataValidation>
    <dataValidation type="list" allowBlank="1" sqref="C2:C500">
      <formula1>"Individual,Rollover IRA,Roth IRA,Other"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18.0"/>
    <col customWidth="1" min="4" max="5" width="14.0"/>
    <col customWidth="1" min="6" max="6" width="12.0"/>
    <col customWidth="1" min="7" max="7" width="35.0"/>
    <col customWidth="1" min="8" max="8" width="30.0"/>
    <col customWidth="1" min="9" max="9" width="10.0"/>
    <col customWidth="1" min="10" max="10" width="12.0"/>
    <col customWidth="1" min="11" max="26" width="8.71"/>
  </cols>
  <sheetData>
    <row r="1">
      <c r="A1" s="4" t="s">
        <v>35</v>
      </c>
      <c r="B1" s="4" t="s">
        <v>36</v>
      </c>
      <c r="C1" s="4" t="s">
        <v>12</v>
      </c>
      <c r="D1" s="4" t="s">
        <v>40</v>
      </c>
      <c r="E1" s="4" t="s">
        <v>102</v>
      </c>
      <c r="F1" s="4" t="s">
        <v>103</v>
      </c>
      <c r="G1" s="4" t="s">
        <v>47</v>
      </c>
      <c r="H1" s="4" t="s">
        <v>104</v>
      </c>
      <c r="I1" s="4" t="s">
        <v>105</v>
      </c>
      <c r="J1" s="4" t="s">
        <v>106</v>
      </c>
    </row>
    <row r="2">
      <c r="A2" s="8" t="s">
        <v>107</v>
      </c>
      <c r="B2" s="8" t="s">
        <v>108</v>
      </c>
      <c r="C2" s="8" t="s">
        <v>15</v>
      </c>
      <c r="D2" s="6">
        <f>IFERROR(__xludf.DUMMYFUNCTION("googlefinance(A2,""price"")"),149.11)</f>
        <v>149.11</v>
      </c>
      <c r="E2" s="6">
        <v>120.0</v>
      </c>
      <c r="F2" s="7">
        <f t="shared" ref="F2:F4" si="1">IF(D2&lt;&gt;0,(D2-E2)/D2,0)</f>
        <v>0.1952250017</v>
      </c>
      <c r="G2" s="8" t="s">
        <v>109</v>
      </c>
      <c r="H2" s="8" t="s">
        <v>110</v>
      </c>
      <c r="I2" s="8" t="s">
        <v>111</v>
      </c>
      <c r="J2" s="8" t="s">
        <v>112</v>
      </c>
    </row>
    <row r="3">
      <c r="A3" s="8" t="s">
        <v>113</v>
      </c>
      <c r="B3" s="8" t="s">
        <v>114</v>
      </c>
      <c r="C3" s="8" t="s">
        <v>18</v>
      </c>
      <c r="D3" s="6">
        <f>IFERROR(__xludf.DUMMYFUNCTION("googlefinance(A3,""price"")"),575.71)</f>
        <v>575.71</v>
      </c>
      <c r="E3" s="6">
        <v>480.0</v>
      </c>
      <c r="F3" s="7">
        <f t="shared" si="1"/>
        <v>0.1662468951</v>
      </c>
      <c r="G3" s="8" t="s">
        <v>115</v>
      </c>
      <c r="H3" s="8" t="s">
        <v>116</v>
      </c>
      <c r="I3" s="8" t="s">
        <v>117</v>
      </c>
      <c r="J3" s="8" t="s">
        <v>118</v>
      </c>
    </row>
    <row r="4">
      <c r="A4" s="8" t="s">
        <v>119</v>
      </c>
      <c r="B4" s="8" t="s">
        <v>120</v>
      </c>
      <c r="C4" s="8" t="s">
        <v>20</v>
      </c>
      <c r="D4" s="6">
        <f>IFERROR(__xludf.DUMMYFUNCTION("googlefinance(A4,""price"")"),143.12)</f>
        <v>143.12</v>
      </c>
      <c r="E4" s="6">
        <v>155.0</v>
      </c>
      <c r="F4" s="7">
        <f t="shared" si="1"/>
        <v>-0.08300726663</v>
      </c>
      <c r="G4" s="8" t="s">
        <v>121</v>
      </c>
      <c r="H4" s="8" t="s">
        <v>122</v>
      </c>
      <c r="I4" s="8" t="s">
        <v>111</v>
      </c>
      <c r="J4" s="8" t="s">
        <v>95</v>
      </c>
    </row>
    <row r="5">
      <c r="D5" s="12" t="str">
        <f>IFERROR(__xludf.DUMMYFUNCTION("IF(A5&lt;&gt;"""",googlefinance(A5,""price""),"""")"),"")</f>
        <v/>
      </c>
      <c r="F5" s="12" t="str">
        <f t="shared" ref="F5:F100" si="2">IF(AND(D5&lt;&gt;"",E5&lt;&gt;""),(D5-E5)/D5,"")</f>
        <v/>
      </c>
      <c r="I5" s="12"/>
    </row>
    <row r="6">
      <c r="D6" s="12" t="str">
        <f>IFERROR(__xludf.DUMMYFUNCTION("IF(A6&lt;&gt;"""",googlefinance(A6,""price""),"""")"),"")</f>
        <v/>
      </c>
      <c r="F6" s="12" t="str">
        <f t="shared" si="2"/>
        <v/>
      </c>
      <c r="I6" s="12"/>
    </row>
    <row r="7">
      <c r="D7" s="12" t="str">
        <f>IFERROR(__xludf.DUMMYFUNCTION("IF(A7&lt;&gt;"""",googlefinance(A7,""price""),"""")"),"")</f>
        <v/>
      </c>
      <c r="F7" s="12" t="str">
        <f t="shared" si="2"/>
        <v/>
      </c>
      <c r="I7" s="12"/>
    </row>
    <row r="8">
      <c r="D8" s="12" t="str">
        <f>IFERROR(__xludf.DUMMYFUNCTION("IF(A8&lt;&gt;"""",googlefinance(A8,""price""),"""")"),"")</f>
        <v/>
      </c>
      <c r="F8" s="12" t="str">
        <f t="shared" si="2"/>
        <v/>
      </c>
      <c r="I8" s="12"/>
    </row>
    <row r="9">
      <c r="D9" s="12" t="str">
        <f>IFERROR(__xludf.DUMMYFUNCTION("IF(A9&lt;&gt;"""",googlefinance(A9,""price""),"""")"),"")</f>
        <v/>
      </c>
      <c r="F9" s="12" t="str">
        <f t="shared" si="2"/>
        <v/>
      </c>
      <c r="I9" s="12"/>
    </row>
    <row r="10">
      <c r="D10" s="12" t="str">
        <f>IFERROR(__xludf.DUMMYFUNCTION("IF(A10&lt;&gt;"""",googlefinance(A10,""price""),"""")"),"")</f>
        <v/>
      </c>
      <c r="F10" s="12" t="str">
        <f t="shared" si="2"/>
        <v/>
      </c>
      <c r="I10" s="12"/>
    </row>
    <row r="11">
      <c r="D11" s="12" t="str">
        <f>IFERROR(__xludf.DUMMYFUNCTION("IF(A11&lt;&gt;"""",googlefinance(A11,""price""),"""")"),"")</f>
        <v/>
      </c>
      <c r="F11" s="12" t="str">
        <f t="shared" si="2"/>
        <v/>
      </c>
      <c r="I11" s="12"/>
    </row>
    <row r="12">
      <c r="D12" s="12" t="str">
        <f>IFERROR(__xludf.DUMMYFUNCTION("IF(A12&lt;&gt;"""",googlefinance(A12,""price""),"""")"),"")</f>
        <v/>
      </c>
      <c r="F12" s="12" t="str">
        <f t="shared" si="2"/>
        <v/>
      </c>
      <c r="I12" s="12"/>
    </row>
    <row r="13">
      <c r="D13" s="12" t="str">
        <f>IFERROR(__xludf.DUMMYFUNCTION("IF(A13&lt;&gt;"""",googlefinance(A13,""price""),"""")"),"")</f>
        <v/>
      </c>
      <c r="F13" s="12" t="str">
        <f t="shared" si="2"/>
        <v/>
      </c>
      <c r="I13" s="12"/>
    </row>
    <row r="14">
      <c r="D14" s="12" t="str">
        <f>IFERROR(__xludf.DUMMYFUNCTION("IF(A14&lt;&gt;"""",googlefinance(A14,""price""),"""")"),"")</f>
        <v/>
      </c>
      <c r="F14" s="12" t="str">
        <f t="shared" si="2"/>
        <v/>
      </c>
      <c r="I14" s="12"/>
    </row>
    <row r="15">
      <c r="D15" s="12" t="str">
        <f>IFERROR(__xludf.DUMMYFUNCTION("IF(A15&lt;&gt;"""",googlefinance(A15,""price""),"""")"),"")</f>
        <v/>
      </c>
      <c r="F15" s="12" t="str">
        <f t="shared" si="2"/>
        <v/>
      </c>
      <c r="I15" s="12"/>
    </row>
    <row r="16">
      <c r="D16" s="12" t="str">
        <f>IFERROR(__xludf.DUMMYFUNCTION("IF(A16&lt;&gt;"""",googlefinance(A16,""price""),"""")"),"")</f>
        <v/>
      </c>
      <c r="F16" s="12" t="str">
        <f t="shared" si="2"/>
        <v/>
      </c>
      <c r="I16" s="12"/>
    </row>
    <row r="17">
      <c r="D17" s="12" t="str">
        <f>IFERROR(__xludf.DUMMYFUNCTION("IF(A17&lt;&gt;"""",googlefinance(A17,""price""),"""")"),"")</f>
        <v/>
      </c>
      <c r="F17" s="12" t="str">
        <f t="shared" si="2"/>
        <v/>
      </c>
      <c r="I17" s="12"/>
    </row>
    <row r="18">
      <c r="D18" s="12" t="str">
        <f>IFERROR(__xludf.DUMMYFUNCTION("IF(A18&lt;&gt;"""",googlefinance(A18,""price""),"""")"),"")</f>
        <v/>
      </c>
      <c r="F18" s="12" t="str">
        <f t="shared" si="2"/>
        <v/>
      </c>
      <c r="I18" s="12"/>
    </row>
    <row r="19">
      <c r="D19" s="12" t="str">
        <f>IFERROR(__xludf.DUMMYFUNCTION("IF(A19&lt;&gt;"""",googlefinance(A19,""price""),"""")"),"")</f>
        <v/>
      </c>
      <c r="F19" s="12" t="str">
        <f t="shared" si="2"/>
        <v/>
      </c>
      <c r="I19" s="12"/>
    </row>
    <row r="20">
      <c r="D20" s="12" t="str">
        <f>IFERROR(__xludf.DUMMYFUNCTION("IF(A20&lt;&gt;"""",googlefinance(A20,""price""),"""")"),"")</f>
        <v/>
      </c>
      <c r="F20" s="12" t="str">
        <f t="shared" si="2"/>
        <v/>
      </c>
      <c r="I20" s="12"/>
    </row>
    <row r="21" ht="15.75" customHeight="1">
      <c r="D21" s="12" t="str">
        <f>IFERROR(__xludf.DUMMYFUNCTION("IF(A21&lt;&gt;"""",googlefinance(A21,""price""),"""")"),"")</f>
        <v/>
      </c>
      <c r="F21" s="12" t="str">
        <f t="shared" si="2"/>
        <v/>
      </c>
      <c r="I21" s="12"/>
    </row>
    <row r="22" ht="15.75" customHeight="1">
      <c r="D22" s="12" t="str">
        <f>IFERROR(__xludf.DUMMYFUNCTION("IF(A22&lt;&gt;"""",googlefinance(A22,""price""),"""")"),"")</f>
        <v/>
      </c>
      <c r="F22" s="12" t="str">
        <f t="shared" si="2"/>
        <v/>
      </c>
      <c r="I22" s="12"/>
    </row>
    <row r="23" ht="15.75" customHeight="1">
      <c r="D23" s="12" t="str">
        <f>IFERROR(__xludf.DUMMYFUNCTION("IF(A23&lt;&gt;"""",googlefinance(A23,""price""),"""")"),"")</f>
        <v/>
      </c>
      <c r="F23" s="12" t="str">
        <f t="shared" si="2"/>
        <v/>
      </c>
      <c r="I23" s="12"/>
    </row>
    <row r="24" ht="15.75" customHeight="1">
      <c r="D24" s="12" t="str">
        <f>IFERROR(__xludf.DUMMYFUNCTION("IF(A24&lt;&gt;"""",googlefinance(A24,""price""),"""")"),"")</f>
        <v/>
      </c>
      <c r="F24" s="12" t="str">
        <f t="shared" si="2"/>
        <v/>
      </c>
      <c r="I24" s="12"/>
    </row>
    <row r="25" ht="15.75" customHeight="1">
      <c r="D25" s="12" t="str">
        <f>IFERROR(__xludf.DUMMYFUNCTION("IF(A25&lt;&gt;"""",googlefinance(A25,""price""),"""")"),"")</f>
        <v/>
      </c>
      <c r="F25" s="12" t="str">
        <f t="shared" si="2"/>
        <v/>
      </c>
      <c r="I25" s="12"/>
    </row>
    <row r="26" ht="15.75" customHeight="1">
      <c r="D26" s="12" t="str">
        <f>IFERROR(__xludf.DUMMYFUNCTION("IF(A26&lt;&gt;"""",googlefinance(A26,""price""),"""")"),"")</f>
        <v/>
      </c>
      <c r="F26" s="12" t="str">
        <f t="shared" si="2"/>
        <v/>
      </c>
      <c r="I26" s="12"/>
    </row>
    <row r="27" ht="15.75" customHeight="1">
      <c r="D27" s="12" t="str">
        <f>IFERROR(__xludf.DUMMYFUNCTION("IF(A27&lt;&gt;"""",googlefinance(A27,""price""),"""")"),"")</f>
        <v/>
      </c>
      <c r="F27" s="12" t="str">
        <f t="shared" si="2"/>
        <v/>
      </c>
      <c r="I27" s="12"/>
    </row>
    <row r="28" ht="15.75" customHeight="1">
      <c r="D28" s="12" t="str">
        <f>IFERROR(__xludf.DUMMYFUNCTION("IF(A28&lt;&gt;"""",googlefinance(A28,""price""),"""")"),"")</f>
        <v/>
      </c>
      <c r="F28" s="12" t="str">
        <f t="shared" si="2"/>
        <v/>
      </c>
      <c r="I28" s="12"/>
    </row>
    <row r="29" ht="15.75" customHeight="1">
      <c r="D29" s="12" t="str">
        <f>IFERROR(__xludf.DUMMYFUNCTION("IF(A29&lt;&gt;"""",googlefinance(A29,""price""),"""")"),"")</f>
        <v/>
      </c>
      <c r="F29" s="12" t="str">
        <f t="shared" si="2"/>
        <v/>
      </c>
      <c r="I29" s="12"/>
    </row>
    <row r="30" ht="15.75" customHeight="1">
      <c r="D30" s="12" t="str">
        <f>IFERROR(__xludf.DUMMYFUNCTION("IF(A30&lt;&gt;"""",googlefinance(A30,""price""),"""")"),"")</f>
        <v/>
      </c>
      <c r="F30" s="12" t="str">
        <f t="shared" si="2"/>
        <v/>
      </c>
      <c r="I30" s="12"/>
    </row>
    <row r="31" ht="15.75" customHeight="1">
      <c r="D31" s="12" t="str">
        <f>IFERROR(__xludf.DUMMYFUNCTION("IF(A31&lt;&gt;"""",googlefinance(A31,""price""),"""")"),"")</f>
        <v/>
      </c>
      <c r="F31" s="12" t="str">
        <f t="shared" si="2"/>
        <v/>
      </c>
      <c r="I31" s="12"/>
    </row>
    <row r="32" ht="15.75" customHeight="1">
      <c r="D32" s="12" t="str">
        <f>IFERROR(__xludf.DUMMYFUNCTION("IF(A32&lt;&gt;"""",googlefinance(A32,""price""),"""")"),"")</f>
        <v/>
      </c>
      <c r="F32" s="12" t="str">
        <f t="shared" si="2"/>
        <v/>
      </c>
      <c r="I32" s="12"/>
    </row>
    <row r="33" ht="15.75" customHeight="1">
      <c r="D33" s="12" t="str">
        <f>IFERROR(__xludf.DUMMYFUNCTION("IF(A33&lt;&gt;"""",googlefinance(A33,""price""),"""")"),"")</f>
        <v/>
      </c>
      <c r="F33" s="12" t="str">
        <f t="shared" si="2"/>
        <v/>
      </c>
      <c r="I33" s="12"/>
    </row>
    <row r="34" ht="15.75" customHeight="1">
      <c r="D34" s="12" t="str">
        <f>IFERROR(__xludf.DUMMYFUNCTION("IF(A34&lt;&gt;"""",googlefinance(A34,""price""),"""")"),"")</f>
        <v/>
      </c>
      <c r="F34" s="12" t="str">
        <f t="shared" si="2"/>
        <v/>
      </c>
      <c r="I34" s="12"/>
    </row>
    <row r="35" ht="15.75" customHeight="1">
      <c r="D35" s="12" t="str">
        <f>IFERROR(__xludf.DUMMYFUNCTION("IF(A35&lt;&gt;"""",googlefinance(A35,""price""),"""")"),"")</f>
        <v/>
      </c>
      <c r="F35" s="12" t="str">
        <f t="shared" si="2"/>
        <v/>
      </c>
      <c r="I35" s="12"/>
    </row>
    <row r="36" ht="15.75" customHeight="1">
      <c r="D36" s="12" t="str">
        <f>IFERROR(__xludf.DUMMYFUNCTION("IF(A36&lt;&gt;"""",googlefinance(A36,""price""),"""")"),"")</f>
        <v/>
      </c>
      <c r="F36" s="12" t="str">
        <f t="shared" si="2"/>
        <v/>
      </c>
      <c r="I36" s="12"/>
    </row>
    <row r="37" ht="15.75" customHeight="1">
      <c r="D37" s="12" t="str">
        <f>IFERROR(__xludf.DUMMYFUNCTION("IF(A37&lt;&gt;"""",googlefinance(A37,""price""),"""")"),"")</f>
        <v/>
      </c>
      <c r="F37" s="12" t="str">
        <f t="shared" si="2"/>
        <v/>
      </c>
      <c r="I37" s="12"/>
    </row>
    <row r="38" ht="15.75" customHeight="1">
      <c r="D38" s="12" t="str">
        <f>IFERROR(__xludf.DUMMYFUNCTION("IF(A38&lt;&gt;"""",googlefinance(A38,""price""),"""")"),"")</f>
        <v/>
      </c>
      <c r="F38" s="12" t="str">
        <f t="shared" si="2"/>
        <v/>
      </c>
      <c r="I38" s="12"/>
    </row>
    <row r="39" ht="15.75" customHeight="1">
      <c r="D39" s="12" t="str">
        <f>IFERROR(__xludf.DUMMYFUNCTION("IF(A39&lt;&gt;"""",googlefinance(A39,""price""),"""")"),"")</f>
        <v/>
      </c>
      <c r="F39" s="12" t="str">
        <f t="shared" si="2"/>
        <v/>
      </c>
      <c r="I39" s="12"/>
    </row>
    <row r="40" ht="15.75" customHeight="1">
      <c r="D40" s="12" t="str">
        <f>IFERROR(__xludf.DUMMYFUNCTION("IF(A40&lt;&gt;"""",googlefinance(A40,""price""),"""")"),"")</f>
        <v/>
      </c>
      <c r="F40" s="12" t="str">
        <f t="shared" si="2"/>
        <v/>
      </c>
      <c r="I40" s="12"/>
    </row>
    <row r="41" ht="15.75" customHeight="1">
      <c r="D41" s="12" t="str">
        <f>IFERROR(__xludf.DUMMYFUNCTION("IF(A41&lt;&gt;"""",googlefinance(A41,""price""),"""")"),"")</f>
        <v/>
      </c>
      <c r="F41" s="12" t="str">
        <f t="shared" si="2"/>
        <v/>
      </c>
      <c r="I41" s="12"/>
    </row>
    <row r="42" ht="15.75" customHeight="1">
      <c r="D42" s="12" t="str">
        <f>IFERROR(__xludf.DUMMYFUNCTION("IF(A42&lt;&gt;"""",googlefinance(A42,""price""),"""")"),"")</f>
        <v/>
      </c>
      <c r="F42" s="12" t="str">
        <f t="shared" si="2"/>
        <v/>
      </c>
      <c r="I42" s="12"/>
    </row>
    <row r="43" ht="15.75" customHeight="1">
      <c r="D43" s="12" t="str">
        <f>IFERROR(__xludf.DUMMYFUNCTION("IF(A43&lt;&gt;"""",googlefinance(A43,""price""),"""")"),"")</f>
        <v/>
      </c>
      <c r="F43" s="12" t="str">
        <f t="shared" si="2"/>
        <v/>
      </c>
      <c r="I43" s="12"/>
    </row>
    <row r="44" ht="15.75" customHeight="1">
      <c r="D44" s="12" t="str">
        <f>IFERROR(__xludf.DUMMYFUNCTION("IF(A44&lt;&gt;"""",googlefinance(A44,""price""),"""")"),"")</f>
        <v/>
      </c>
      <c r="F44" s="12" t="str">
        <f t="shared" si="2"/>
        <v/>
      </c>
      <c r="I44" s="12"/>
    </row>
    <row r="45" ht="15.75" customHeight="1">
      <c r="D45" s="12" t="str">
        <f>IFERROR(__xludf.DUMMYFUNCTION("IF(A45&lt;&gt;"""",googlefinance(A45,""price""),"""")"),"")</f>
        <v/>
      </c>
      <c r="F45" s="12" t="str">
        <f t="shared" si="2"/>
        <v/>
      </c>
      <c r="I45" s="12"/>
    </row>
    <row r="46" ht="15.75" customHeight="1">
      <c r="D46" s="12" t="str">
        <f>IFERROR(__xludf.DUMMYFUNCTION("IF(A46&lt;&gt;"""",googlefinance(A46,""price""),"""")"),"")</f>
        <v/>
      </c>
      <c r="F46" s="12" t="str">
        <f t="shared" si="2"/>
        <v/>
      </c>
      <c r="I46" s="12"/>
    </row>
    <row r="47" ht="15.75" customHeight="1">
      <c r="D47" s="12" t="str">
        <f>IFERROR(__xludf.DUMMYFUNCTION("IF(A47&lt;&gt;"""",googlefinance(A47,""price""),"""")"),"")</f>
        <v/>
      </c>
      <c r="F47" s="12" t="str">
        <f t="shared" si="2"/>
        <v/>
      </c>
      <c r="I47" s="12"/>
    </row>
    <row r="48" ht="15.75" customHeight="1">
      <c r="D48" s="12" t="str">
        <f>IFERROR(__xludf.DUMMYFUNCTION("IF(A48&lt;&gt;"""",googlefinance(A48,""price""),"""")"),"")</f>
        <v/>
      </c>
      <c r="F48" s="12" t="str">
        <f t="shared" si="2"/>
        <v/>
      </c>
      <c r="I48" s="12"/>
    </row>
    <row r="49" ht="15.75" customHeight="1">
      <c r="D49" s="12" t="str">
        <f>IFERROR(__xludf.DUMMYFUNCTION("IF(A49&lt;&gt;"""",googlefinance(A49,""price""),"""")"),"")</f>
        <v/>
      </c>
      <c r="F49" s="12" t="str">
        <f t="shared" si="2"/>
        <v/>
      </c>
      <c r="I49" s="12"/>
    </row>
    <row r="50" ht="15.75" customHeight="1">
      <c r="D50" s="12" t="str">
        <f>IFERROR(__xludf.DUMMYFUNCTION("IF(A50&lt;&gt;"""",googlefinance(A50,""price""),"""")"),"")</f>
        <v/>
      </c>
      <c r="F50" s="12" t="str">
        <f t="shared" si="2"/>
        <v/>
      </c>
      <c r="I50" s="12"/>
    </row>
    <row r="51" ht="15.75" customHeight="1">
      <c r="D51" s="12" t="str">
        <f>IFERROR(__xludf.DUMMYFUNCTION("IF(A51&lt;&gt;"""",googlefinance(A51,""price""),"""")"),"")</f>
        <v/>
      </c>
      <c r="F51" s="12" t="str">
        <f t="shared" si="2"/>
        <v/>
      </c>
      <c r="I51" s="12"/>
    </row>
    <row r="52" ht="15.75" customHeight="1">
      <c r="D52" s="12" t="str">
        <f>IFERROR(__xludf.DUMMYFUNCTION("IF(A52&lt;&gt;"""",googlefinance(A52,""price""),"""")"),"")</f>
        <v/>
      </c>
      <c r="F52" s="12" t="str">
        <f t="shared" si="2"/>
        <v/>
      </c>
      <c r="I52" s="12"/>
    </row>
    <row r="53" ht="15.75" customHeight="1">
      <c r="D53" s="12" t="str">
        <f>IFERROR(__xludf.DUMMYFUNCTION("IF(A53&lt;&gt;"""",googlefinance(A53,""price""),"""")"),"")</f>
        <v/>
      </c>
      <c r="F53" s="12" t="str">
        <f t="shared" si="2"/>
        <v/>
      </c>
      <c r="I53" s="12"/>
    </row>
    <row r="54" ht="15.75" customHeight="1">
      <c r="D54" s="12" t="str">
        <f>IFERROR(__xludf.DUMMYFUNCTION("IF(A54&lt;&gt;"""",googlefinance(A54,""price""),"""")"),"")</f>
        <v/>
      </c>
      <c r="F54" s="12" t="str">
        <f t="shared" si="2"/>
        <v/>
      </c>
      <c r="I54" s="12"/>
    </row>
    <row r="55" ht="15.75" customHeight="1">
      <c r="D55" s="12" t="str">
        <f>IFERROR(__xludf.DUMMYFUNCTION("IF(A55&lt;&gt;"""",googlefinance(A55,""price""),"""")"),"")</f>
        <v/>
      </c>
      <c r="F55" s="12" t="str">
        <f t="shared" si="2"/>
        <v/>
      </c>
      <c r="I55" s="12"/>
    </row>
    <row r="56" ht="15.75" customHeight="1">
      <c r="D56" s="12" t="str">
        <f>IFERROR(__xludf.DUMMYFUNCTION("IF(A56&lt;&gt;"""",googlefinance(A56,""price""),"""")"),"")</f>
        <v/>
      </c>
      <c r="F56" s="12" t="str">
        <f t="shared" si="2"/>
        <v/>
      </c>
      <c r="I56" s="12"/>
    </row>
    <row r="57" ht="15.75" customHeight="1">
      <c r="D57" s="12" t="str">
        <f>IFERROR(__xludf.DUMMYFUNCTION("IF(A57&lt;&gt;"""",googlefinance(A57,""price""),"""")"),"")</f>
        <v/>
      </c>
      <c r="F57" s="12" t="str">
        <f t="shared" si="2"/>
        <v/>
      </c>
      <c r="I57" s="12"/>
    </row>
    <row r="58" ht="15.75" customHeight="1">
      <c r="D58" s="12" t="str">
        <f>IFERROR(__xludf.DUMMYFUNCTION("IF(A58&lt;&gt;"""",googlefinance(A58,""price""),"""")"),"")</f>
        <v/>
      </c>
      <c r="F58" s="12" t="str">
        <f t="shared" si="2"/>
        <v/>
      </c>
      <c r="I58" s="12"/>
    </row>
    <row r="59" ht="15.75" customHeight="1">
      <c r="D59" s="12" t="str">
        <f>IFERROR(__xludf.DUMMYFUNCTION("IF(A59&lt;&gt;"""",googlefinance(A59,""price""),"""")"),"")</f>
        <v/>
      </c>
      <c r="F59" s="12" t="str">
        <f t="shared" si="2"/>
        <v/>
      </c>
      <c r="I59" s="12"/>
    </row>
    <row r="60" ht="15.75" customHeight="1">
      <c r="D60" s="12" t="str">
        <f>IFERROR(__xludf.DUMMYFUNCTION("IF(A60&lt;&gt;"""",googlefinance(A60,""price""),"""")"),"")</f>
        <v/>
      </c>
      <c r="F60" s="12" t="str">
        <f t="shared" si="2"/>
        <v/>
      </c>
      <c r="I60" s="12"/>
    </row>
    <row r="61" ht="15.75" customHeight="1">
      <c r="D61" s="12" t="str">
        <f>IFERROR(__xludf.DUMMYFUNCTION("IF(A61&lt;&gt;"""",googlefinance(A61,""price""),"""")"),"")</f>
        <v/>
      </c>
      <c r="F61" s="12" t="str">
        <f t="shared" si="2"/>
        <v/>
      </c>
      <c r="I61" s="12"/>
    </row>
    <row r="62" ht="15.75" customHeight="1">
      <c r="D62" s="12" t="str">
        <f>IFERROR(__xludf.DUMMYFUNCTION("IF(A62&lt;&gt;"""",googlefinance(A62,""price""),"""")"),"")</f>
        <v/>
      </c>
      <c r="F62" s="12" t="str">
        <f t="shared" si="2"/>
        <v/>
      </c>
      <c r="I62" s="12"/>
    </row>
    <row r="63" ht="15.75" customHeight="1">
      <c r="D63" s="12" t="str">
        <f>IFERROR(__xludf.DUMMYFUNCTION("IF(A63&lt;&gt;"""",googlefinance(A63,""price""),"""")"),"")</f>
        <v/>
      </c>
      <c r="F63" s="12" t="str">
        <f t="shared" si="2"/>
        <v/>
      </c>
      <c r="I63" s="12"/>
    </row>
    <row r="64" ht="15.75" customHeight="1">
      <c r="D64" s="12" t="str">
        <f>IFERROR(__xludf.DUMMYFUNCTION("IF(A64&lt;&gt;"""",googlefinance(A64,""price""),"""")"),"")</f>
        <v/>
      </c>
      <c r="F64" s="12" t="str">
        <f t="shared" si="2"/>
        <v/>
      </c>
      <c r="I64" s="12"/>
    </row>
    <row r="65" ht="15.75" customHeight="1">
      <c r="D65" s="12" t="str">
        <f>IFERROR(__xludf.DUMMYFUNCTION("IF(A65&lt;&gt;"""",googlefinance(A65,""price""),"""")"),"")</f>
        <v/>
      </c>
      <c r="F65" s="12" t="str">
        <f t="shared" si="2"/>
        <v/>
      </c>
      <c r="I65" s="12"/>
    </row>
    <row r="66" ht="15.75" customHeight="1">
      <c r="D66" s="12" t="str">
        <f>IFERROR(__xludf.DUMMYFUNCTION("IF(A66&lt;&gt;"""",googlefinance(A66,""price""),"""")"),"")</f>
        <v/>
      </c>
      <c r="F66" s="12" t="str">
        <f t="shared" si="2"/>
        <v/>
      </c>
      <c r="I66" s="12"/>
    </row>
    <row r="67" ht="15.75" customHeight="1">
      <c r="D67" s="12" t="str">
        <f>IFERROR(__xludf.DUMMYFUNCTION("IF(A67&lt;&gt;"""",googlefinance(A67,""price""),"""")"),"")</f>
        <v/>
      </c>
      <c r="F67" s="12" t="str">
        <f t="shared" si="2"/>
        <v/>
      </c>
      <c r="I67" s="12"/>
    </row>
    <row r="68" ht="15.75" customHeight="1">
      <c r="D68" s="12" t="str">
        <f>IFERROR(__xludf.DUMMYFUNCTION("IF(A68&lt;&gt;"""",googlefinance(A68,""price""),"""")"),"")</f>
        <v/>
      </c>
      <c r="F68" s="12" t="str">
        <f t="shared" si="2"/>
        <v/>
      </c>
      <c r="I68" s="12"/>
    </row>
    <row r="69" ht="15.75" customHeight="1">
      <c r="D69" s="12" t="str">
        <f>IFERROR(__xludf.DUMMYFUNCTION("IF(A69&lt;&gt;"""",googlefinance(A69,""price""),"""")"),"")</f>
        <v/>
      </c>
      <c r="F69" s="12" t="str">
        <f t="shared" si="2"/>
        <v/>
      </c>
      <c r="I69" s="12"/>
    </row>
    <row r="70" ht="15.75" customHeight="1">
      <c r="D70" s="12" t="str">
        <f>IFERROR(__xludf.DUMMYFUNCTION("IF(A70&lt;&gt;"""",googlefinance(A70,""price""),"""")"),"")</f>
        <v/>
      </c>
      <c r="F70" s="12" t="str">
        <f t="shared" si="2"/>
        <v/>
      </c>
      <c r="I70" s="12"/>
    </row>
    <row r="71" ht="15.75" customHeight="1">
      <c r="D71" s="12" t="str">
        <f>IFERROR(__xludf.DUMMYFUNCTION("IF(A71&lt;&gt;"""",googlefinance(A71,""price""),"""")"),"")</f>
        <v/>
      </c>
      <c r="F71" s="12" t="str">
        <f t="shared" si="2"/>
        <v/>
      </c>
      <c r="I71" s="12"/>
    </row>
    <row r="72" ht="15.75" customHeight="1">
      <c r="D72" s="12" t="str">
        <f>IFERROR(__xludf.DUMMYFUNCTION("IF(A72&lt;&gt;"""",googlefinance(A72,""price""),"""")"),"")</f>
        <v/>
      </c>
      <c r="F72" s="12" t="str">
        <f t="shared" si="2"/>
        <v/>
      </c>
      <c r="I72" s="12"/>
    </row>
    <row r="73" ht="15.75" customHeight="1">
      <c r="D73" s="12" t="str">
        <f>IFERROR(__xludf.DUMMYFUNCTION("IF(A73&lt;&gt;"""",googlefinance(A73,""price""),"""")"),"")</f>
        <v/>
      </c>
      <c r="F73" s="12" t="str">
        <f t="shared" si="2"/>
        <v/>
      </c>
      <c r="I73" s="12"/>
    </row>
    <row r="74" ht="15.75" customHeight="1">
      <c r="D74" s="12" t="str">
        <f>IFERROR(__xludf.DUMMYFUNCTION("IF(A74&lt;&gt;"""",googlefinance(A74,""price""),"""")"),"")</f>
        <v/>
      </c>
      <c r="F74" s="12" t="str">
        <f t="shared" si="2"/>
        <v/>
      </c>
      <c r="I74" s="12"/>
    </row>
    <row r="75" ht="15.75" customHeight="1">
      <c r="D75" s="12" t="str">
        <f>IFERROR(__xludf.DUMMYFUNCTION("IF(A75&lt;&gt;"""",googlefinance(A75,""price""),"""")"),"")</f>
        <v/>
      </c>
      <c r="F75" s="12" t="str">
        <f t="shared" si="2"/>
        <v/>
      </c>
      <c r="I75" s="12"/>
    </row>
    <row r="76" ht="15.75" customHeight="1">
      <c r="D76" s="12" t="str">
        <f>IFERROR(__xludf.DUMMYFUNCTION("IF(A76&lt;&gt;"""",googlefinance(A76,""price""),"""")"),"")</f>
        <v/>
      </c>
      <c r="F76" s="12" t="str">
        <f t="shared" si="2"/>
        <v/>
      </c>
      <c r="I76" s="12"/>
    </row>
    <row r="77" ht="15.75" customHeight="1">
      <c r="D77" s="12" t="str">
        <f>IFERROR(__xludf.DUMMYFUNCTION("IF(A77&lt;&gt;"""",googlefinance(A77,""price""),"""")"),"")</f>
        <v/>
      </c>
      <c r="F77" s="12" t="str">
        <f t="shared" si="2"/>
        <v/>
      </c>
      <c r="I77" s="12"/>
    </row>
    <row r="78" ht="15.75" customHeight="1">
      <c r="D78" s="12" t="str">
        <f>IFERROR(__xludf.DUMMYFUNCTION("IF(A78&lt;&gt;"""",googlefinance(A78,""price""),"""")"),"")</f>
        <v/>
      </c>
      <c r="F78" s="12" t="str">
        <f t="shared" si="2"/>
        <v/>
      </c>
      <c r="I78" s="12"/>
    </row>
    <row r="79" ht="15.75" customHeight="1">
      <c r="D79" s="12" t="str">
        <f>IFERROR(__xludf.DUMMYFUNCTION("IF(A79&lt;&gt;"""",googlefinance(A79,""price""),"""")"),"")</f>
        <v/>
      </c>
      <c r="F79" s="12" t="str">
        <f t="shared" si="2"/>
        <v/>
      </c>
      <c r="I79" s="12"/>
    </row>
    <row r="80" ht="15.75" customHeight="1">
      <c r="D80" s="12" t="str">
        <f>IFERROR(__xludf.DUMMYFUNCTION("IF(A80&lt;&gt;"""",googlefinance(A80,""price""),"""")"),"")</f>
        <v/>
      </c>
      <c r="F80" s="12" t="str">
        <f t="shared" si="2"/>
        <v/>
      </c>
      <c r="I80" s="12"/>
    </row>
    <row r="81" ht="15.75" customHeight="1">
      <c r="D81" s="12" t="str">
        <f>IFERROR(__xludf.DUMMYFUNCTION("IF(A81&lt;&gt;"""",googlefinance(A81,""price""),"""")"),"")</f>
        <v/>
      </c>
      <c r="F81" s="12" t="str">
        <f t="shared" si="2"/>
        <v/>
      </c>
      <c r="I81" s="12"/>
    </row>
    <row r="82" ht="15.75" customHeight="1">
      <c r="D82" s="12" t="str">
        <f>IFERROR(__xludf.DUMMYFUNCTION("IF(A82&lt;&gt;"""",googlefinance(A82,""price""),"""")"),"")</f>
        <v/>
      </c>
      <c r="F82" s="12" t="str">
        <f t="shared" si="2"/>
        <v/>
      </c>
      <c r="I82" s="12"/>
    </row>
    <row r="83" ht="15.75" customHeight="1">
      <c r="D83" s="12" t="str">
        <f>IFERROR(__xludf.DUMMYFUNCTION("IF(A83&lt;&gt;"""",googlefinance(A83,""price""),"""")"),"")</f>
        <v/>
      </c>
      <c r="F83" s="12" t="str">
        <f t="shared" si="2"/>
        <v/>
      </c>
      <c r="I83" s="12"/>
    </row>
    <row r="84" ht="15.75" customHeight="1">
      <c r="D84" s="12" t="str">
        <f>IFERROR(__xludf.DUMMYFUNCTION("IF(A84&lt;&gt;"""",googlefinance(A84,""price""),"""")"),"")</f>
        <v/>
      </c>
      <c r="F84" s="12" t="str">
        <f t="shared" si="2"/>
        <v/>
      </c>
      <c r="I84" s="12"/>
    </row>
    <row r="85" ht="15.75" customHeight="1">
      <c r="D85" s="12" t="str">
        <f>IFERROR(__xludf.DUMMYFUNCTION("IF(A85&lt;&gt;"""",googlefinance(A85,""price""),"""")"),"")</f>
        <v/>
      </c>
      <c r="F85" s="12" t="str">
        <f t="shared" si="2"/>
        <v/>
      </c>
      <c r="I85" s="12"/>
    </row>
    <row r="86" ht="15.75" customHeight="1">
      <c r="D86" s="12" t="str">
        <f>IFERROR(__xludf.DUMMYFUNCTION("IF(A86&lt;&gt;"""",googlefinance(A86,""price""),"""")"),"")</f>
        <v/>
      </c>
      <c r="F86" s="12" t="str">
        <f t="shared" si="2"/>
        <v/>
      </c>
      <c r="I86" s="12"/>
    </row>
    <row r="87" ht="15.75" customHeight="1">
      <c r="D87" s="12" t="str">
        <f>IFERROR(__xludf.DUMMYFUNCTION("IF(A87&lt;&gt;"""",googlefinance(A87,""price""),"""")"),"")</f>
        <v/>
      </c>
      <c r="F87" s="12" t="str">
        <f t="shared" si="2"/>
        <v/>
      </c>
      <c r="I87" s="12"/>
    </row>
    <row r="88" ht="15.75" customHeight="1">
      <c r="D88" s="12" t="str">
        <f>IFERROR(__xludf.DUMMYFUNCTION("IF(A88&lt;&gt;"""",googlefinance(A88,""price""),"""")"),"")</f>
        <v/>
      </c>
      <c r="F88" s="12" t="str">
        <f t="shared" si="2"/>
        <v/>
      </c>
      <c r="I88" s="12"/>
    </row>
    <row r="89" ht="15.75" customHeight="1">
      <c r="D89" s="12" t="str">
        <f>IFERROR(__xludf.DUMMYFUNCTION("IF(A89&lt;&gt;"""",googlefinance(A89,""price""),"""")"),"")</f>
        <v/>
      </c>
      <c r="F89" s="12" t="str">
        <f t="shared" si="2"/>
        <v/>
      </c>
      <c r="I89" s="12"/>
    </row>
    <row r="90" ht="15.75" customHeight="1">
      <c r="D90" s="12" t="str">
        <f>IFERROR(__xludf.DUMMYFUNCTION("IF(A90&lt;&gt;"""",googlefinance(A90,""price""),"""")"),"")</f>
        <v/>
      </c>
      <c r="F90" s="12" t="str">
        <f t="shared" si="2"/>
        <v/>
      </c>
      <c r="I90" s="12"/>
    </row>
    <row r="91" ht="15.75" customHeight="1">
      <c r="D91" s="12" t="str">
        <f>IFERROR(__xludf.DUMMYFUNCTION("IF(A91&lt;&gt;"""",googlefinance(A91,""price""),"""")"),"")</f>
        <v/>
      </c>
      <c r="F91" s="12" t="str">
        <f t="shared" si="2"/>
        <v/>
      </c>
      <c r="I91" s="12"/>
    </row>
    <row r="92" ht="15.75" customHeight="1">
      <c r="D92" s="12" t="str">
        <f>IFERROR(__xludf.DUMMYFUNCTION("IF(A92&lt;&gt;"""",googlefinance(A92,""price""),"""")"),"")</f>
        <v/>
      </c>
      <c r="F92" s="12" t="str">
        <f t="shared" si="2"/>
        <v/>
      </c>
      <c r="I92" s="12"/>
    </row>
    <row r="93" ht="15.75" customHeight="1">
      <c r="D93" s="12" t="str">
        <f>IFERROR(__xludf.DUMMYFUNCTION("IF(A93&lt;&gt;"""",googlefinance(A93,""price""),"""")"),"")</f>
        <v/>
      </c>
      <c r="F93" s="12" t="str">
        <f t="shared" si="2"/>
        <v/>
      </c>
      <c r="I93" s="12"/>
    </row>
    <row r="94" ht="15.75" customHeight="1">
      <c r="D94" s="12" t="str">
        <f>IFERROR(__xludf.DUMMYFUNCTION("IF(A94&lt;&gt;"""",googlefinance(A94,""price""),"""")"),"")</f>
        <v/>
      </c>
      <c r="F94" s="12" t="str">
        <f t="shared" si="2"/>
        <v/>
      </c>
      <c r="I94" s="12"/>
    </row>
    <row r="95" ht="15.75" customHeight="1">
      <c r="D95" s="12" t="str">
        <f>IFERROR(__xludf.DUMMYFUNCTION("IF(A95&lt;&gt;"""",googlefinance(A95,""price""),"""")"),"")</f>
        <v/>
      </c>
      <c r="F95" s="12" t="str">
        <f t="shared" si="2"/>
        <v/>
      </c>
      <c r="I95" s="12"/>
    </row>
    <row r="96" ht="15.75" customHeight="1">
      <c r="D96" s="12" t="str">
        <f>IFERROR(__xludf.DUMMYFUNCTION("IF(A96&lt;&gt;"""",googlefinance(A96,""price""),"""")"),"")</f>
        <v/>
      </c>
      <c r="F96" s="12" t="str">
        <f t="shared" si="2"/>
        <v/>
      </c>
      <c r="I96" s="12"/>
    </row>
    <row r="97" ht="15.75" customHeight="1">
      <c r="D97" s="12" t="str">
        <f>IFERROR(__xludf.DUMMYFUNCTION("IF(A97&lt;&gt;"""",googlefinance(A97,""price""),"""")"),"")</f>
        <v/>
      </c>
      <c r="F97" s="12" t="str">
        <f t="shared" si="2"/>
        <v/>
      </c>
      <c r="I97" s="12"/>
    </row>
    <row r="98" ht="15.75" customHeight="1">
      <c r="D98" s="12" t="str">
        <f>IFERROR(__xludf.DUMMYFUNCTION("IF(A98&lt;&gt;"""",googlefinance(A98,""price""),"""")"),"")</f>
        <v/>
      </c>
      <c r="F98" s="12" t="str">
        <f t="shared" si="2"/>
        <v/>
      </c>
      <c r="I98" s="12"/>
    </row>
    <row r="99" ht="15.75" customHeight="1">
      <c r="D99" s="12" t="str">
        <f>IFERROR(__xludf.DUMMYFUNCTION("IF(A99&lt;&gt;"""",googlefinance(A99,""price""),"""")"),"")</f>
        <v/>
      </c>
      <c r="F99" s="12" t="str">
        <f t="shared" si="2"/>
        <v/>
      </c>
      <c r="I99" s="12"/>
    </row>
    <row r="100" ht="15.75" customHeight="1">
      <c r="D100" s="12" t="str">
        <f>IFERROR(__xludf.DUMMYFUNCTION("IF(A100&lt;&gt;"""",googlefinance(A100,""price""),"""")"),"")</f>
        <v/>
      </c>
      <c r="F100" s="12" t="str">
        <f t="shared" si="2"/>
        <v/>
      </c>
      <c r="I100" s="1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2:F100">
    <cfRule type="cellIs" dxfId="0" priority="1" operator="lessThan">
      <formula>0.05</formula>
    </cfRule>
  </conditionalFormatting>
  <dataValidations>
    <dataValidation type="list" allowBlank="1" sqref="I2:I100">
      <formula1>"Hot,Warm,Cold"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8.0"/>
    <col customWidth="1" min="4" max="4" width="40.0"/>
    <col customWidth="1" min="5" max="5" width="30.0"/>
    <col customWidth="1" min="6" max="6" width="35.0"/>
    <col customWidth="1" min="7" max="26" width="8.71"/>
  </cols>
  <sheetData>
    <row r="1">
      <c r="A1" s="4" t="s">
        <v>123</v>
      </c>
      <c r="B1" s="4" t="s">
        <v>124</v>
      </c>
      <c r="C1" s="4" t="s">
        <v>125</v>
      </c>
      <c r="D1" s="4" t="s">
        <v>126</v>
      </c>
      <c r="E1" s="4" t="s">
        <v>127</v>
      </c>
      <c r="F1" s="4" t="s">
        <v>128</v>
      </c>
    </row>
    <row r="2">
      <c r="A2" s="8" t="s">
        <v>95</v>
      </c>
      <c r="B2" s="8" t="s">
        <v>129</v>
      </c>
      <c r="C2" s="8" t="s">
        <v>130</v>
      </c>
      <c r="D2" s="8" t="s">
        <v>131</v>
      </c>
      <c r="E2" s="8" t="s">
        <v>132</v>
      </c>
      <c r="F2" s="8" t="s">
        <v>133</v>
      </c>
    </row>
    <row r="3">
      <c r="A3" s="8" t="s">
        <v>118</v>
      </c>
      <c r="B3" s="8" t="s">
        <v>129</v>
      </c>
      <c r="C3" s="8" t="s">
        <v>134</v>
      </c>
      <c r="D3" s="8" t="s">
        <v>135</v>
      </c>
      <c r="E3" s="8" t="s">
        <v>136</v>
      </c>
      <c r="F3" s="8" t="s">
        <v>137</v>
      </c>
    </row>
    <row r="4">
      <c r="B4" s="12"/>
    </row>
    <row r="5">
      <c r="B5" s="12"/>
    </row>
    <row r="6">
      <c r="B6" s="12"/>
    </row>
    <row r="7">
      <c r="B7" s="12"/>
    </row>
    <row r="8">
      <c r="B8" s="12"/>
    </row>
    <row r="9">
      <c r="B9" s="12"/>
    </row>
    <row r="10">
      <c r="B10" s="12"/>
    </row>
    <row r="11">
      <c r="B11" s="12"/>
    </row>
    <row r="12">
      <c r="B12" s="12"/>
    </row>
    <row r="13">
      <c r="B13" s="12"/>
    </row>
    <row r="14">
      <c r="B14" s="12"/>
    </row>
    <row r="15">
      <c r="B15" s="12"/>
    </row>
    <row r="16">
      <c r="B16" s="12"/>
    </row>
    <row r="17">
      <c r="B17" s="12"/>
    </row>
    <row r="18">
      <c r="B18" s="12"/>
    </row>
    <row r="19">
      <c r="B19" s="12"/>
    </row>
    <row r="20">
      <c r="B20" s="12"/>
    </row>
    <row r="21" ht="15.75" customHeight="1">
      <c r="B21" s="12"/>
    </row>
    <row r="22" ht="15.75" customHeight="1">
      <c r="B22" s="12"/>
    </row>
    <row r="23" ht="15.75" customHeight="1">
      <c r="B23" s="12"/>
    </row>
    <row r="24" ht="15.75" customHeight="1">
      <c r="B24" s="12"/>
    </row>
    <row r="25" ht="15.75" customHeight="1">
      <c r="B25" s="12"/>
    </row>
    <row r="26" ht="15.75" customHeight="1">
      <c r="B26" s="12"/>
    </row>
    <row r="27" ht="15.75" customHeight="1">
      <c r="B27" s="12"/>
    </row>
    <row r="28" ht="15.75" customHeight="1">
      <c r="B28" s="12"/>
    </row>
    <row r="29" ht="15.75" customHeight="1">
      <c r="B29" s="12"/>
    </row>
    <row r="30" ht="15.75" customHeight="1">
      <c r="B30" s="12"/>
    </row>
    <row r="31" ht="15.75" customHeight="1">
      <c r="B31" s="12"/>
    </row>
    <row r="32" ht="15.75" customHeight="1">
      <c r="B32" s="12"/>
    </row>
    <row r="33" ht="15.75" customHeight="1">
      <c r="B33" s="12"/>
    </row>
    <row r="34" ht="15.75" customHeight="1">
      <c r="B34" s="12"/>
    </row>
    <row r="35" ht="15.75" customHeight="1">
      <c r="B35" s="12"/>
    </row>
    <row r="36" ht="15.75" customHeight="1">
      <c r="B36" s="12"/>
    </row>
    <row r="37" ht="15.75" customHeight="1">
      <c r="B37" s="12"/>
    </row>
    <row r="38" ht="15.75" customHeight="1">
      <c r="B38" s="12"/>
    </row>
    <row r="39" ht="15.75" customHeight="1">
      <c r="B39" s="12"/>
    </row>
    <row r="40" ht="15.75" customHeight="1">
      <c r="B40" s="12"/>
    </row>
    <row r="41" ht="15.75" customHeight="1">
      <c r="B41" s="12"/>
    </row>
    <row r="42" ht="15.75" customHeight="1">
      <c r="B42" s="12"/>
    </row>
    <row r="43" ht="15.75" customHeight="1">
      <c r="B43" s="12"/>
    </row>
    <row r="44" ht="15.75" customHeight="1">
      <c r="B44" s="12"/>
    </row>
    <row r="45" ht="15.75" customHeight="1">
      <c r="B45" s="12"/>
    </row>
    <row r="46" ht="15.75" customHeight="1">
      <c r="B46" s="12"/>
    </row>
    <row r="47" ht="15.75" customHeight="1">
      <c r="B47" s="12"/>
    </row>
    <row r="48" ht="15.75" customHeight="1">
      <c r="B48" s="12"/>
    </row>
    <row r="49" ht="15.75" customHeight="1">
      <c r="B49" s="12"/>
    </row>
    <row r="50" ht="15.75" customHeight="1">
      <c r="B50" s="12"/>
    </row>
    <row r="51" ht="15.75" customHeight="1">
      <c r="B51" s="12"/>
    </row>
    <row r="52" ht="15.75" customHeight="1">
      <c r="B52" s="12"/>
    </row>
    <row r="53" ht="15.75" customHeight="1">
      <c r="B53" s="12"/>
    </row>
    <row r="54" ht="15.75" customHeight="1">
      <c r="B54" s="12"/>
    </row>
    <row r="55" ht="15.75" customHeight="1">
      <c r="B55" s="12"/>
    </row>
    <row r="56" ht="15.75" customHeight="1">
      <c r="B56" s="12"/>
    </row>
    <row r="57" ht="15.75" customHeight="1">
      <c r="B57" s="12"/>
    </row>
    <row r="58" ht="15.75" customHeight="1">
      <c r="B58" s="12"/>
    </row>
    <row r="59" ht="15.75" customHeight="1">
      <c r="B59" s="12"/>
    </row>
    <row r="60" ht="15.75" customHeight="1">
      <c r="B60" s="12"/>
    </row>
    <row r="61" ht="15.75" customHeight="1">
      <c r="B61" s="12"/>
    </row>
    <row r="62" ht="15.75" customHeight="1">
      <c r="B62" s="12"/>
    </row>
    <row r="63" ht="15.75" customHeight="1">
      <c r="B63" s="12"/>
    </row>
    <row r="64" ht="15.75" customHeight="1">
      <c r="B64" s="12"/>
    </row>
    <row r="65" ht="15.75" customHeight="1">
      <c r="B65" s="12"/>
    </row>
    <row r="66" ht="15.75" customHeight="1">
      <c r="B66" s="12"/>
    </row>
    <row r="67" ht="15.75" customHeight="1">
      <c r="B67" s="12"/>
    </row>
    <row r="68" ht="15.75" customHeight="1">
      <c r="B68" s="12"/>
    </row>
    <row r="69" ht="15.75" customHeight="1">
      <c r="B69" s="12"/>
    </row>
    <row r="70" ht="15.75" customHeight="1">
      <c r="B70" s="12"/>
    </row>
    <row r="71" ht="15.75" customHeight="1">
      <c r="B71" s="12"/>
    </row>
    <row r="72" ht="15.75" customHeight="1">
      <c r="B72" s="12"/>
    </row>
    <row r="73" ht="15.75" customHeight="1">
      <c r="B73" s="12"/>
    </row>
    <row r="74" ht="15.75" customHeight="1">
      <c r="B74" s="12"/>
    </row>
    <row r="75" ht="15.75" customHeight="1">
      <c r="B75" s="12"/>
    </row>
    <row r="76" ht="15.75" customHeight="1">
      <c r="B76" s="12"/>
    </row>
    <row r="77" ht="15.75" customHeight="1">
      <c r="B77" s="12"/>
    </row>
    <row r="78" ht="15.75" customHeight="1">
      <c r="B78" s="12"/>
    </row>
    <row r="79" ht="15.75" customHeight="1">
      <c r="B79" s="12"/>
    </row>
    <row r="80" ht="15.75" customHeight="1">
      <c r="B80" s="12"/>
    </row>
    <row r="81" ht="15.75" customHeight="1">
      <c r="B81" s="12"/>
    </row>
    <row r="82" ht="15.75" customHeight="1">
      <c r="B82" s="12"/>
    </row>
    <row r="83" ht="15.75" customHeight="1">
      <c r="B83" s="12"/>
    </row>
    <row r="84" ht="15.75" customHeight="1">
      <c r="B84" s="12"/>
    </row>
    <row r="85" ht="15.75" customHeight="1">
      <c r="B85" s="12"/>
    </row>
    <row r="86" ht="15.75" customHeight="1">
      <c r="B86" s="12"/>
    </row>
    <row r="87" ht="15.75" customHeight="1">
      <c r="B87" s="12"/>
    </row>
    <row r="88" ht="15.75" customHeight="1">
      <c r="B88" s="12"/>
    </row>
    <row r="89" ht="15.75" customHeight="1">
      <c r="B89" s="12"/>
    </row>
    <row r="90" ht="15.75" customHeight="1">
      <c r="B90" s="12"/>
    </row>
    <row r="91" ht="15.75" customHeight="1">
      <c r="B91" s="12"/>
    </row>
    <row r="92" ht="15.75" customHeight="1">
      <c r="B92" s="12"/>
    </row>
    <row r="93" ht="15.75" customHeight="1">
      <c r="B93" s="12"/>
    </row>
    <row r="94" ht="15.75" customHeight="1">
      <c r="B94" s="12"/>
    </row>
    <row r="95" ht="15.75" customHeight="1">
      <c r="B95" s="12"/>
    </row>
    <row r="96" ht="15.75" customHeight="1">
      <c r="B96" s="12"/>
    </row>
    <row r="97" ht="15.75" customHeight="1">
      <c r="B97" s="12"/>
    </row>
    <row r="98" ht="15.75" customHeight="1">
      <c r="B98" s="12"/>
    </row>
    <row r="99" ht="15.75" customHeight="1">
      <c r="B99" s="12"/>
    </row>
    <row r="100" ht="15.75" customHeight="1">
      <c r="B100" s="12"/>
    </row>
    <row r="101" ht="15.75" customHeight="1">
      <c r="B101" s="12"/>
    </row>
    <row r="102" ht="15.75" customHeight="1">
      <c r="B102" s="12"/>
    </row>
    <row r="103" ht="15.75" customHeight="1">
      <c r="B103" s="12"/>
    </row>
    <row r="104" ht="15.75" customHeight="1">
      <c r="B104" s="12"/>
    </row>
    <row r="105" ht="15.75" customHeight="1">
      <c r="B105" s="12"/>
    </row>
    <row r="106" ht="15.75" customHeight="1">
      <c r="B106" s="12"/>
    </row>
    <row r="107" ht="15.75" customHeight="1">
      <c r="B107" s="12"/>
    </row>
    <row r="108" ht="15.75" customHeight="1">
      <c r="B108" s="12"/>
    </row>
    <row r="109" ht="15.75" customHeight="1">
      <c r="B109" s="12"/>
    </row>
    <row r="110" ht="15.75" customHeight="1">
      <c r="B110" s="12"/>
    </row>
    <row r="111" ht="15.75" customHeight="1">
      <c r="B111" s="12"/>
    </row>
    <row r="112" ht="15.75" customHeight="1">
      <c r="B112" s="12"/>
    </row>
    <row r="113" ht="15.75" customHeight="1">
      <c r="B113" s="12"/>
    </row>
    <row r="114" ht="15.75" customHeight="1">
      <c r="B114" s="12"/>
    </row>
    <row r="115" ht="15.75" customHeight="1">
      <c r="B115" s="12"/>
    </row>
    <row r="116" ht="15.75" customHeight="1">
      <c r="B116" s="12"/>
    </row>
    <row r="117" ht="15.75" customHeight="1">
      <c r="B117" s="12"/>
    </row>
    <row r="118" ht="15.75" customHeight="1">
      <c r="B118" s="12"/>
    </row>
    <row r="119" ht="15.75" customHeight="1">
      <c r="B119" s="12"/>
    </row>
    <row r="120" ht="15.75" customHeight="1">
      <c r="B120" s="12"/>
    </row>
    <row r="121" ht="15.75" customHeight="1">
      <c r="B121" s="12"/>
    </row>
    <row r="122" ht="15.75" customHeight="1">
      <c r="B122" s="12"/>
    </row>
    <row r="123" ht="15.75" customHeight="1">
      <c r="B123" s="12"/>
    </row>
    <row r="124" ht="15.75" customHeight="1">
      <c r="B124" s="12"/>
    </row>
    <row r="125" ht="15.75" customHeight="1">
      <c r="B125" s="12"/>
    </row>
    <row r="126" ht="15.75" customHeight="1">
      <c r="B126" s="12"/>
    </row>
    <row r="127" ht="15.75" customHeight="1">
      <c r="B127" s="12"/>
    </row>
    <row r="128" ht="15.75" customHeight="1">
      <c r="B128" s="12"/>
    </row>
    <row r="129" ht="15.75" customHeight="1">
      <c r="B129" s="12"/>
    </row>
    <row r="130" ht="15.75" customHeight="1">
      <c r="B130" s="12"/>
    </row>
    <row r="131" ht="15.75" customHeight="1">
      <c r="B131" s="12"/>
    </row>
    <row r="132" ht="15.75" customHeight="1">
      <c r="B132" s="12"/>
    </row>
    <row r="133" ht="15.75" customHeight="1">
      <c r="B133" s="12"/>
    </row>
    <row r="134" ht="15.75" customHeight="1">
      <c r="B134" s="12"/>
    </row>
    <row r="135" ht="15.75" customHeight="1">
      <c r="B135" s="12"/>
    </row>
    <row r="136" ht="15.75" customHeight="1">
      <c r="B136" s="12"/>
    </row>
    <row r="137" ht="15.75" customHeight="1">
      <c r="B137" s="12"/>
    </row>
    <row r="138" ht="15.75" customHeight="1">
      <c r="B138" s="12"/>
    </row>
    <row r="139" ht="15.75" customHeight="1">
      <c r="B139" s="12"/>
    </row>
    <row r="140" ht="15.75" customHeight="1">
      <c r="B140" s="12"/>
    </row>
    <row r="141" ht="15.75" customHeight="1">
      <c r="B141" s="12"/>
    </row>
    <row r="142" ht="15.75" customHeight="1">
      <c r="B142" s="12"/>
    </row>
    <row r="143" ht="15.75" customHeight="1">
      <c r="B143" s="12"/>
    </row>
    <row r="144" ht="15.75" customHeight="1">
      <c r="B144" s="12"/>
    </row>
    <row r="145" ht="15.75" customHeight="1">
      <c r="B145" s="12"/>
    </row>
    <row r="146" ht="15.75" customHeight="1">
      <c r="B146" s="12"/>
    </row>
    <row r="147" ht="15.75" customHeight="1">
      <c r="B147" s="12"/>
    </row>
    <row r="148" ht="15.75" customHeight="1">
      <c r="B148" s="12"/>
    </row>
    <row r="149" ht="15.75" customHeight="1">
      <c r="B149" s="12"/>
    </row>
    <row r="150" ht="15.75" customHeight="1">
      <c r="B150" s="12"/>
    </row>
    <row r="151" ht="15.75" customHeight="1">
      <c r="B151" s="12"/>
    </row>
    <row r="152" ht="15.75" customHeight="1">
      <c r="B152" s="12"/>
    </row>
    <row r="153" ht="15.75" customHeight="1">
      <c r="B153" s="12"/>
    </row>
    <row r="154" ht="15.75" customHeight="1">
      <c r="B154" s="12"/>
    </row>
    <row r="155" ht="15.75" customHeight="1">
      <c r="B155" s="12"/>
    </row>
    <row r="156" ht="15.75" customHeight="1">
      <c r="B156" s="12"/>
    </row>
    <row r="157" ht="15.75" customHeight="1">
      <c r="B157" s="12"/>
    </row>
    <row r="158" ht="15.75" customHeight="1">
      <c r="B158" s="12"/>
    </row>
    <row r="159" ht="15.75" customHeight="1">
      <c r="B159" s="12"/>
    </row>
    <row r="160" ht="15.75" customHeight="1">
      <c r="B160" s="12"/>
    </row>
    <row r="161" ht="15.75" customHeight="1">
      <c r="B161" s="12"/>
    </row>
    <row r="162" ht="15.75" customHeight="1">
      <c r="B162" s="12"/>
    </row>
    <row r="163" ht="15.75" customHeight="1">
      <c r="B163" s="12"/>
    </row>
    <row r="164" ht="15.75" customHeight="1">
      <c r="B164" s="12"/>
    </row>
    <row r="165" ht="15.75" customHeight="1">
      <c r="B165" s="12"/>
    </row>
    <row r="166" ht="15.75" customHeight="1">
      <c r="B166" s="12"/>
    </row>
    <row r="167" ht="15.75" customHeight="1">
      <c r="B167" s="12"/>
    </row>
    <row r="168" ht="15.75" customHeight="1">
      <c r="B168" s="12"/>
    </row>
    <row r="169" ht="15.75" customHeight="1">
      <c r="B169" s="12"/>
    </row>
    <row r="170" ht="15.75" customHeight="1">
      <c r="B170" s="12"/>
    </row>
    <row r="171" ht="15.75" customHeight="1">
      <c r="B171" s="12"/>
    </row>
    <row r="172" ht="15.75" customHeight="1">
      <c r="B172" s="12"/>
    </row>
    <row r="173" ht="15.75" customHeight="1">
      <c r="B173" s="12"/>
    </row>
    <row r="174" ht="15.75" customHeight="1">
      <c r="B174" s="12"/>
    </row>
    <row r="175" ht="15.75" customHeight="1">
      <c r="B175" s="12"/>
    </row>
    <row r="176" ht="15.75" customHeight="1">
      <c r="B176" s="12"/>
    </row>
    <row r="177" ht="15.75" customHeight="1">
      <c r="B177" s="12"/>
    </row>
    <row r="178" ht="15.75" customHeight="1">
      <c r="B178" s="12"/>
    </row>
    <row r="179" ht="15.75" customHeight="1">
      <c r="B179" s="12"/>
    </row>
    <row r="180" ht="15.75" customHeight="1">
      <c r="B180" s="12"/>
    </row>
    <row r="181" ht="15.75" customHeight="1">
      <c r="B181" s="12"/>
    </row>
    <row r="182" ht="15.75" customHeight="1">
      <c r="B182" s="12"/>
    </row>
    <row r="183" ht="15.75" customHeight="1">
      <c r="B183" s="12"/>
    </row>
    <row r="184" ht="15.75" customHeight="1">
      <c r="B184" s="12"/>
    </row>
    <row r="185" ht="15.75" customHeight="1">
      <c r="B185" s="12"/>
    </row>
    <row r="186" ht="15.75" customHeight="1">
      <c r="B186" s="12"/>
    </row>
    <row r="187" ht="15.75" customHeight="1">
      <c r="B187" s="12"/>
    </row>
    <row r="188" ht="15.75" customHeight="1">
      <c r="B188" s="12"/>
    </row>
    <row r="189" ht="15.75" customHeight="1">
      <c r="B189" s="12"/>
    </row>
    <row r="190" ht="15.75" customHeight="1">
      <c r="B190" s="12"/>
    </row>
    <row r="191" ht="15.75" customHeight="1">
      <c r="B191" s="12"/>
    </row>
    <row r="192" ht="15.75" customHeight="1">
      <c r="B192" s="12"/>
    </row>
    <row r="193" ht="15.75" customHeight="1">
      <c r="B193" s="12"/>
    </row>
    <row r="194" ht="15.75" customHeight="1">
      <c r="B194" s="12"/>
    </row>
    <row r="195" ht="15.75" customHeight="1">
      <c r="B195" s="12"/>
    </row>
    <row r="196" ht="15.75" customHeight="1">
      <c r="B196" s="12"/>
    </row>
    <row r="197" ht="15.75" customHeight="1">
      <c r="B197" s="12"/>
    </row>
    <row r="198" ht="15.75" customHeight="1">
      <c r="B198" s="12"/>
    </row>
    <row r="199" ht="15.75" customHeight="1">
      <c r="B199" s="12"/>
    </row>
    <row r="200" ht="15.75" customHeight="1">
      <c r="B200" s="12"/>
    </row>
    <row r="201" ht="15.75" customHeight="1">
      <c r="B201" s="12"/>
    </row>
    <row r="202" ht="15.75" customHeight="1">
      <c r="B202" s="12"/>
    </row>
    <row r="203" ht="15.75" customHeight="1">
      <c r="B203" s="12"/>
    </row>
    <row r="204" ht="15.75" customHeight="1">
      <c r="B204" s="12"/>
    </row>
    <row r="205" ht="15.75" customHeight="1">
      <c r="B205" s="12"/>
    </row>
    <row r="206" ht="15.75" customHeight="1">
      <c r="B206" s="12"/>
    </row>
    <row r="207" ht="15.75" customHeight="1">
      <c r="B207" s="12"/>
    </row>
    <row r="208" ht="15.75" customHeight="1">
      <c r="B208" s="12"/>
    </row>
    <row r="209" ht="15.75" customHeight="1">
      <c r="B209" s="12"/>
    </row>
    <row r="210" ht="15.75" customHeight="1">
      <c r="B210" s="12"/>
    </row>
    <row r="211" ht="15.75" customHeight="1">
      <c r="B211" s="12"/>
    </row>
    <row r="212" ht="15.75" customHeight="1">
      <c r="B212" s="12"/>
    </row>
    <row r="213" ht="15.75" customHeight="1">
      <c r="B213" s="12"/>
    </row>
    <row r="214" ht="15.75" customHeight="1">
      <c r="B214" s="12"/>
    </row>
    <row r="215" ht="15.75" customHeight="1">
      <c r="B215" s="12"/>
    </row>
    <row r="216" ht="15.75" customHeight="1">
      <c r="B216" s="12"/>
    </row>
    <row r="217" ht="15.75" customHeight="1">
      <c r="B217" s="12"/>
    </row>
    <row r="218" ht="15.75" customHeight="1">
      <c r="B218" s="12"/>
    </row>
    <row r="219" ht="15.75" customHeight="1">
      <c r="B219" s="12"/>
    </row>
    <row r="220" ht="15.75" customHeight="1">
      <c r="B220" s="12"/>
    </row>
    <row r="221" ht="15.75" customHeight="1">
      <c r="B221" s="12"/>
    </row>
    <row r="222" ht="15.75" customHeight="1">
      <c r="B222" s="12"/>
    </row>
    <row r="223" ht="15.75" customHeight="1">
      <c r="B223" s="12"/>
    </row>
    <row r="224" ht="15.75" customHeight="1">
      <c r="B224" s="12"/>
    </row>
    <row r="225" ht="15.75" customHeight="1">
      <c r="B225" s="12"/>
    </row>
    <row r="226" ht="15.75" customHeight="1">
      <c r="B226" s="12"/>
    </row>
    <row r="227" ht="15.75" customHeight="1">
      <c r="B227" s="12"/>
    </row>
    <row r="228" ht="15.75" customHeight="1">
      <c r="B228" s="12"/>
    </row>
    <row r="229" ht="15.75" customHeight="1">
      <c r="B229" s="12"/>
    </row>
    <row r="230" ht="15.75" customHeight="1">
      <c r="B230" s="12"/>
    </row>
    <row r="231" ht="15.75" customHeight="1">
      <c r="B231" s="12"/>
    </row>
    <row r="232" ht="15.75" customHeight="1">
      <c r="B232" s="12"/>
    </row>
    <row r="233" ht="15.75" customHeight="1">
      <c r="B233" s="12"/>
    </row>
    <row r="234" ht="15.75" customHeight="1">
      <c r="B234" s="12"/>
    </row>
    <row r="235" ht="15.75" customHeight="1">
      <c r="B235" s="12"/>
    </row>
    <row r="236" ht="15.75" customHeight="1">
      <c r="B236" s="12"/>
    </row>
    <row r="237" ht="15.75" customHeight="1">
      <c r="B237" s="12"/>
    </row>
    <row r="238" ht="15.75" customHeight="1">
      <c r="B238" s="12"/>
    </row>
    <row r="239" ht="15.75" customHeight="1">
      <c r="B239" s="12"/>
    </row>
    <row r="240" ht="15.75" customHeight="1">
      <c r="B240" s="12"/>
    </row>
    <row r="241" ht="15.75" customHeight="1">
      <c r="B241" s="12"/>
    </row>
    <row r="242" ht="15.75" customHeight="1">
      <c r="B242" s="12"/>
    </row>
    <row r="243" ht="15.75" customHeight="1">
      <c r="B243" s="12"/>
    </row>
    <row r="244" ht="15.75" customHeight="1">
      <c r="B244" s="12"/>
    </row>
    <row r="245" ht="15.75" customHeight="1">
      <c r="B245" s="12"/>
    </row>
    <row r="246" ht="15.75" customHeight="1">
      <c r="B246" s="12"/>
    </row>
    <row r="247" ht="15.75" customHeight="1">
      <c r="B247" s="12"/>
    </row>
    <row r="248" ht="15.75" customHeight="1">
      <c r="B248" s="12"/>
    </row>
    <row r="249" ht="15.75" customHeight="1">
      <c r="B249" s="12"/>
    </row>
    <row r="250" ht="15.75" customHeight="1">
      <c r="B250" s="12"/>
    </row>
    <row r="251" ht="15.75" customHeight="1">
      <c r="B251" s="12"/>
    </row>
    <row r="252" ht="15.75" customHeight="1">
      <c r="B252" s="12"/>
    </row>
    <row r="253" ht="15.75" customHeight="1">
      <c r="B253" s="12"/>
    </row>
    <row r="254" ht="15.75" customHeight="1">
      <c r="B254" s="12"/>
    </row>
    <row r="255" ht="15.75" customHeight="1">
      <c r="B255" s="12"/>
    </row>
    <row r="256" ht="15.75" customHeight="1">
      <c r="B256" s="12"/>
    </row>
    <row r="257" ht="15.75" customHeight="1">
      <c r="B257" s="12"/>
    </row>
    <row r="258" ht="15.75" customHeight="1">
      <c r="B258" s="12"/>
    </row>
    <row r="259" ht="15.75" customHeight="1">
      <c r="B259" s="12"/>
    </row>
    <row r="260" ht="15.75" customHeight="1">
      <c r="B260" s="12"/>
    </row>
    <row r="261" ht="15.75" customHeight="1">
      <c r="B261" s="12"/>
    </row>
    <row r="262" ht="15.75" customHeight="1">
      <c r="B262" s="12"/>
    </row>
    <row r="263" ht="15.75" customHeight="1">
      <c r="B263" s="12"/>
    </row>
    <row r="264" ht="15.75" customHeight="1">
      <c r="B264" s="12"/>
    </row>
    <row r="265" ht="15.75" customHeight="1">
      <c r="B265" s="12"/>
    </row>
    <row r="266" ht="15.75" customHeight="1">
      <c r="B266" s="12"/>
    </row>
    <row r="267" ht="15.75" customHeight="1">
      <c r="B267" s="12"/>
    </row>
    <row r="268" ht="15.75" customHeight="1">
      <c r="B268" s="12"/>
    </row>
    <row r="269" ht="15.75" customHeight="1">
      <c r="B269" s="12"/>
    </row>
    <row r="270" ht="15.75" customHeight="1">
      <c r="B270" s="12"/>
    </row>
    <row r="271" ht="15.75" customHeight="1">
      <c r="B271" s="12"/>
    </row>
    <row r="272" ht="15.75" customHeight="1">
      <c r="B272" s="12"/>
    </row>
    <row r="273" ht="15.75" customHeight="1">
      <c r="B273" s="12"/>
    </row>
    <row r="274" ht="15.75" customHeight="1">
      <c r="B274" s="12"/>
    </row>
    <row r="275" ht="15.75" customHeight="1">
      <c r="B275" s="12"/>
    </row>
    <row r="276" ht="15.75" customHeight="1">
      <c r="B276" s="12"/>
    </row>
    <row r="277" ht="15.75" customHeight="1">
      <c r="B277" s="12"/>
    </row>
    <row r="278" ht="15.75" customHeight="1">
      <c r="B278" s="12"/>
    </row>
    <row r="279" ht="15.75" customHeight="1">
      <c r="B279" s="12"/>
    </row>
    <row r="280" ht="15.75" customHeight="1">
      <c r="B280" s="12"/>
    </row>
    <row r="281" ht="15.75" customHeight="1">
      <c r="B281" s="12"/>
    </row>
    <row r="282" ht="15.75" customHeight="1">
      <c r="B282" s="12"/>
    </row>
    <row r="283" ht="15.75" customHeight="1">
      <c r="B283" s="12"/>
    </row>
    <row r="284" ht="15.75" customHeight="1">
      <c r="B284" s="12"/>
    </row>
    <row r="285" ht="15.75" customHeight="1">
      <c r="B285" s="12"/>
    </row>
    <row r="286" ht="15.75" customHeight="1">
      <c r="B286" s="12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>
      <c r="B405" s="12"/>
    </row>
    <row r="406" ht="15.75" customHeight="1">
      <c r="B406" s="12"/>
    </row>
    <row r="407" ht="15.75" customHeight="1">
      <c r="B407" s="12"/>
    </row>
    <row r="408" ht="15.75" customHeight="1">
      <c r="B408" s="12"/>
    </row>
    <row r="409" ht="15.75" customHeight="1">
      <c r="B409" s="12"/>
    </row>
    <row r="410" ht="15.75" customHeight="1">
      <c r="B410" s="12"/>
    </row>
    <row r="411" ht="15.75" customHeight="1">
      <c r="B411" s="12"/>
    </row>
    <row r="412" ht="15.75" customHeight="1">
      <c r="B412" s="12"/>
    </row>
    <row r="413" ht="15.75" customHeight="1">
      <c r="B413" s="12"/>
    </row>
    <row r="414" ht="15.75" customHeight="1">
      <c r="B414" s="12"/>
    </row>
    <row r="415" ht="15.75" customHeight="1">
      <c r="B415" s="12"/>
    </row>
    <row r="416" ht="15.75" customHeight="1">
      <c r="B416" s="12"/>
    </row>
    <row r="417" ht="15.75" customHeight="1">
      <c r="B417" s="12"/>
    </row>
    <row r="418" ht="15.75" customHeight="1">
      <c r="B418" s="12"/>
    </row>
    <row r="419" ht="15.75" customHeight="1">
      <c r="B419" s="12"/>
    </row>
    <row r="420" ht="15.75" customHeight="1">
      <c r="B420" s="12"/>
    </row>
    <row r="421" ht="15.75" customHeight="1">
      <c r="B421" s="12"/>
    </row>
    <row r="422" ht="15.75" customHeight="1">
      <c r="B422" s="12"/>
    </row>
    <row r="423" ht="15.75" customHeight="1">
      <c r="B423" s="12"/>
    </row>
    <row r="424" ht="15.75" customHeight="1">
      <c r="B424" s="12"/>
    </row>
    <row r="425" ht="15.75" customHeight="1">
      <c r="B425" s="12"/>
    </row>
    <row r="426" ht="15.75" customHeight="1">
      <c r="B426" s="12"/>
    </row>
    <row r="427" ht="15.75" customHeight="1">
      <c r="B427" s="12"/>
    </row>
    <row r="428" ht="15.75" customHeight="1">
      <c r="B428" s="12"/>
    </row>
    <row r="429" ht="15.75" customHeight="1">
      <c r="B429" s="12"/>
    </row>
    <row r="430" ht="15.75" customHeight="1">
      <c r="B430" s="12"/>
    </row>
    <row r="431" ht="15.75" customHeight="1">
      <c r="B431" s="12"/>
    </row>
    <row r="432" ht="15.75" customHeight="1">
      <c r="B432" s="12"/>
    </row>
    <row r="433" ht="15.75" customHeight="1">
      <c r="B433" s="12"/>
    </row>
    <row r="434" ht="15.75" customHeight="1">
      <c r="B434" s="12"/>
    </row>
    <row r="435" ht="15.75" customHeight="1">
      <c r="B435" s="12"/>
    </row>
    <row r="436" ht="15.75" customHeight="1">
      <c r="B436" s="12"/>
    </row>
    <row r="437" ht="15.75" customHeight="1">
      <c r="B437" s="12"/>
    </row>
    <row r="438" ht="15.75" customHeight="1">
      <c r="B438" s="12"/>
    </row>
    <row r="439" ht="15.75" customHeight="1">
      <c r="B439" s="12"/>
    </row>
    <row r="440" ht="15.75" customHeight="1">
      <c r="B440" s="12"/>
    </row>
    <row r="441" ht="15.75" customHeight="1">
      <c r="B441" s="12"/>
    </row>
    <row r="442" ht="15.75" customHeight="1">
      <c r="B442" s="12"/>
    </row>
    <row r="443" ht="15.75" customHeight="1">
      <c r="B443" s="12"/>
    </row>
    <row r="444" ht="15.75" customHeight="1">
      <c r="B444" s="12"/>
    </row>
    <row r="445" ht="15.75" customHeight="1">
      <c r="B445" s="12"/>
    </row>
    <row r="446" ht="15.75" customHeight="1">
      <c r="B446" s="12"/>
    </row>
    <row r="447" ht="15.75" customHeight="1">
      <c r="B447" s="12"/>
    </row>
    <row r="448" ht="15.75" customHeight="1">
      <c r="B448" s="12"/>
    </row>
    <row r="449" ht="15.75" customHeight="1">
      <c r="B449" s="12"/>
    </row>
    <row r="450" ht="15.75" customHeight="1">
      <c r="B450" s="12"/>
    </row>
    <row r="451" ht="15.75" customHeight="1">
      <c r="B451" s="12"/>
    </row>
    <row r="452" ht="15.75" customHeight="1">
      <c r="B452" s="12"/>
    </row>
    <row r="453" ht="15.75" customHeight="1">
      <c r="B453" s="12"/>
    </row>
    <row r="454" ht="15.75" customHeight="1">
      <c r="B454" s="12"/>
    </row>
    <row r="455" ht="15.75" customHeight="1">
      <c r="B455" s="12"/>
    </row>
    <row r="456" ht="15.75" customHeight="1">
      <c r="B456" s="12"/>
    </row>
    <row r="457" ht="15.75" customHeight="1">
      <c r="B457" s="12"/>
    </row>
    <row r="458" ht="15.75" customHeight="1">
      <c r="B458" s="12"/>
    </row>
    <row r="459" ht="15.75" customHeight="1">
      <c r="B459" s="12"/>
    </row>
    <row r="460" ht="15.75" customHeight="1">
      <c r="B460" s="12"/>
    </row>
    <row r="461" ht="15.75" customHeight="1">
      <c r="B461" s="12"/>
    </row>
    <row r="462" ht="15.75" customHeight="1">
      <c r="B462" s="12"/>
    </row>
    <row r="463" ht="15.75" customHeight="1">
      <c r="B463" s="12"/>
    </row>
    <row r="464" ht="15.75" customHeight="1">
      <c r="B464" s="12"/>
    </row>
    <row r="465" ht="15.75" customHeight="1">
      <c r="B465" s="12"/>
    </row>
    <row r="466" ht="15.75" customHeight="1">
      <c r="B466" s="12"/>
    </row>
    <row r="467" ht="15.75" customHeight="1">
      <c r="B467" s="12"/>
    </row>
    <row r="468" ht="15.75" customHeight="1">
      <c r="B468" s="12"/>
    </row>
    <row r="469" ht="15.75" customHeight="1">
      <c r="B469" s="12"/>
    </row>
    <row r="470" ht="15.75" customHeight="1">
      <c r="B470" s="12"/>
    </row>
    <row r="471" ht="15.75" customHeight="1">
      <c r="B471" s="12"/>
    </row>
    <row r="472" ht="15.75" customHeight="1">
      <c r="B472" s="12"/>
    </row>
    <row r="473" ht="15.75" customHeight="1">
      <c r="B473" s="12"/>
    </row>
    <row r="474" ht="15.75" customHeight="1">
      <c r="B474" s="12"/>
    </row>
    <row r="475" ht="15.75" customHeight="1">
      <c r="B475" s="12"/>
    </row>
    <row r="476" ht="15.75" customHeight="1">
      <c r="B476" s="12"/>
    </row>
    <row r="477" ht="15.75" customHeight="1">
      <c r="B477" s="12"/>
    </row>
    <row r="478" ht="15.75" customHeight="1">
      <c r="B478" s="12"/>
    </row>
    <row r="479" ht="15.75" customHeight="1">
      <c r="B479" s="12"/>
    </row>
    <row r="480" ht="15.75" customHeight="1">
      <c r="B480" s="12"/>
    </row>
    <row r="481" ht="15.75" customHeight="1">
      <c r="B481" s="12"/>
    </row>
    <row r="482" ht="15.75" customHeight="1">
      <c r="B482" s="12"/>
    </row>
    <row r="483" ht="15.75" customHeight="1">
      <c r="B483" s="12"/>
    </row>
    <row r="484" ht="15.75" customHeight="1">
      <c r="B484" s="12"/>
    </row>
    <row r="485" ht="15.75" customHeight="1">
      <c r="B485" s="12"/>
    </row>
    <row r="486" ht="15.75" customHeight="1">
      <c r="B486" s="12"/>
    </row>
    <row r="487" ht="15.75" customHeight="1">
      <c r="B487" s="12"/>
    </row>
    <row r="488" ht="15.75" customHeight="1">
      <c r="B488" s="12"/>
    </row>
    <row r="489" ht="15.75" customHeight="1">
      <c r="B489" s="12"/>
    </row>
    <row r="490" ht="15.75" customHeight="1">
      <c r="B490" s="12"/>
    </row>
    <row r="491" ht="15.75" customHeight="1">
      <c r="B491" s="12"/>
    </row>
    <row r="492" ht="15.75" customHeight="1">
      <c r="B492" s="12"/>
    </row>
    <row r="493" ht="15.75" customHeight="1">
      <c r="B493" s="12"/>
    </row>
    <row r="494" ht="15.75" customHeight="1">
      <c r="B494" s="12"/>
    </row>
    <row r="495" ht="15.75" customHeight="1">
      <c r="B495" s="12"/>
    </row>
    <row r="496" ht="15.75" customHeight="1">
      <c r="B496" s="12"/>
    </row>
    <row r="497" ht="15.75" customHeight="1">
      <c r="B497" s="12"/>
    </row>
    <row r="498" ht="15.75" customHeight="1">
      <c r="B498" s="12"/>
    </row>
    <row r="499" ht="15.75" customHeight="1">
      <c r="B499" s="12"/>
    </row>
    <row r="500" ht="15.75" customHeight="1">
      <c r="B500" s="12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B500">
      <formula1>"Bullish,Bearish,Neutral,Cautious"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3" width="14.0"/>
    <col customWidth="1" min="4" max="4" width="12.0"/>
    <col customWidth="1" min="5" max="5" width="14.0"/>
    <col customWidth="1" min="6" max="6" width="16.0"/>
    <col customWidth="1" min="7" max="7" width="12.0"/>
    <col customWidth="1" min="8" max="26" width="8.71"/>
  </cols>
  <sheetData>
    <row r="1">
      <c r="A1" s="4" t="s">
        <v>35</v>
      </c>
      <c r="B1" s="4" t="s">
        <v>138</v>
      </c>
      <c r="C1" s="4" t="s">
        <v>139</v>
      </c>
      <c r="D1" s="4" t="s">
        <v>140</v>
      </c>
      <c r="E1" s="4" t="s">
        <v>141</v>
      </c>
      <c r="F1" s="4" t="s">
        <v>2</v>
      </c>
      <c r="G1" s="4" t="s">
        <v>142</v>
      </c>
    </row>
    <row r="2">
      <c r="A2" s="8" t="s">
        <v>71</v>
      </c>
      <c r="B2" s="8" t="s">
        <v>112</v>
      </c>
      <c r="C2" s="6">
        <v>0.12</v>
      </c>
      <c r="D2" s="8">
        <v>400.0</v>
      </c>
      <c r="E2" s="6">
        <f t="shared" ref="E2:E3" si="1">C2*D2</f>
        <v>48</v>
      </c>
      <c r="F2" s="8" t="s">
        <v>143</v>
      </c>
      <c r="G2" s="8"/>
    </row>
    <row r="3">
      <c r="A3" s="8" t="s">
        <v>144</v>
      </c>
      <c r="B3" s="8" t="s">
        <v>145</v>
      </c>
      <c r="C3" s="6">
        <v>0.915</v>
      </c>
      <c r="D3" s="8">
        <v>25.0</v>
      </c>
      <c r="E3" s="6">
        <f t="shared" si="1"/>
        <v>22.875</v>
      </c>
      <c r="F3" s="8" t="s">
        <v>143</v>
      </c>
      <c r="G3" s="8"/>
    </row>
    <row r="4">
      <c r="E4" s="12" t="str">
        <f t="shared" ref="E4:E500" si="2">IF(C4&lt;&gt;"",C4*D4,"")</f>
        <v/>
      </c>
    </row>
    <row r="5">
      <c r="A5" s="3" t="s">
        <v>146</v>
      </c>
      <c r="E5" s="14" t="str">
        <f t="shared" si="2"/>
        <v/>
      </c>
    </row>
    <row r="6">
      <c r="E6" s="12" t="str">
        <f t="shared" si="2"/>
        <v/>
      </c>
    </row>
    <row r="7">
      <c r="E7" s="12" t="str">
        <f t="shared" si="2"/>
        <v/>
      </c>
    </row>
    <row r="8">
      <c r="E8" s="12" t="str">
        <f t="shared" si="2"/>
        <v/>
      </c>
    </row>
    <row r="9">
      <c r="E9" s="12" t="str">
        <f t="shared" si="2"/>
        <v/>
      </c>
    </row>
    <row r="10">
      <c r="E10" s="12" t="str">
        <f t="shared" si="2"/>
        <v/>
      </c>
    </row>
    <row r="11">
      <c r="E11" s="12" t="str">
        <f t="shared" si="2"/>
        <v/>
      </c>
    </row>
    <row r="12">
      <c r="E12" s="12" t="str">
        <f t="shared" si="2"/>
        <v/>
      </c>
    </row>
    <row r="13">
      <c r="E13" s="12" t="str">
        <f t="shared" si="2"/>
        <v/>
      </c>
    </row>
    <row r="14">
      <c r="E14" s="12" t="str">
        <f t="shared" si="2"/>
        <v/>
      </c>
    </row>
    <row r="15">
      <c r="E15" s="12" t="str">
        <f t="shared" si="2"/>
        <v/>
      </c>
    </row>
    <row r="16">
      <c r="E16" s="12" t="str">
        <f t="shared" si="2"/>
        <v/>
      </c>
    </row>
    <row r="17">
      <c r="E17" s="12" t="str">
        <f t="shared" si="2"/>
        <v/>
      </c>
    </row>
    <row r="18">
      <c r="E18" s="12" t="str">
        <f t="shared" si="2"/>
        <v/>
      </c>
    </row>
    <row r="19">
      <c r="E19" s="12" t="str">
        <f t="shared" si="2"/>
        <v/>
      </c>
    </row>
    <row r="20">
      <c r="E20" s="12" t="str">
        <f t="shared" si="2"/>
        <v/>
      </c>
    </row>
    <row r="21" ht="15.75" customHeight="1">
      <c r="E21" s="12" t="str">
        <f t="shared" si="2"/>
        <v/>
      </c>
    </row>
    <row r="22" ht="15.75" customHeight="1">
      <c r="E22" s="12" t="str">
        <f t="shared" si="2"/>
        <v/>
      </c>
    </row>
    <row r="23" ht="15.75" customHeight="1">
      <c r="E23" s="12" t="str">
        <f t="shared" si="2"/>
        <v/>
      </c>
    </row>
    <row r="24" ht="15.75" customHeight="1">
      <c r="E24" s="12" t="str">
        <f t="shared" si="2"/>
        <v/>
      </c>
    </row>
    <row r="25" ht="15.75" customHeight="1">
      <c r="E25" s="12" t="str">
        <f t="shared" si="2"/>
        <v/>
      </c>
    </row>
    <row r="26" ht="15.75" customHeight="1">
      <c r="E26" s="12" t="str">
        <f t="shared" si="2"/>
        <v/>
      </c>
    </row>
    <row r="27" ht="15.75" customHeight="1">
      <c r="E27" s="12" t="str">
        <f t="shared" si="2"/>
        <v/>
      </c>
    </row>
    <row r="28" ht="15.75" customHeight="1">
      <c r="E28" s="12" t="str">
        <f t="shared" si="2"/>
        <v/>
      </c>
    </row>
    <row r="29" ht="15.75" customHeight="1">
      <c r="E29" s="12" t="str">
        <f t="shared" si="2"/>
        <v/>
      </c>
    </row>
    <row r="30" ht="15.75" customHeight="1">
      <c r="E30" s="12" t="str">
        <f t="shared" si="2"/>
        <v/>
      </c>
    </row>
    <row r="31" ht="15.75" customHeight="1">
      <c r="E31" s="12" t="str">
        <f t="shared" si="2"/>
        <v/>
      </c>
    </row>
    <row r="32" ht="15.75" customHeight="1">
      <c r="E32" s="12" t="str">
        <f t="shared" si="2"/>
        <v/>
      </c>
    </row>
    <row r="33" ht="15.75" customHeight="1">
      <c r="E33" s="12" t="str">
        <f t="shared" si="2"/>
        <v/>
      </c>
    </row>
    <row r="34" ht="15.75" customHeight="1">
      <c r="E34" s="12" t="str">
        <f t="shared" si="2"/>
        <v/>
      </c>
    </row>
    <row r="35" ht="15.75" customHeight="1">
      <c r="E35" s="12" t="str">
        <f t="shared" si="2"/>
        <v/>
      </c>
    </row>
    <row r="36" ht="15.75" customHeight="1">
      <c r="E36" s="12" t="str">
        <f t="shared" si="2"/>
        <v/>
      </c>
    </row>
    <row r="37" ht="15.75" customHeight="1">
      <c r="E37" s="12" t="str">
        <f t="shared" si="2"/>
        <v/>
      </c>
    </row>
    <row r="38" ht="15.75" customHeight="1">
      <c r="E38" s="12" t="str">
        <f t="shared" si="2"/>
        <v/>
      </c>
    </row>
    <row r="39" ht="15.75" customHeight="1">
      <c r="E39" s="12" t="str">
        <f t="shared" si="2"/>
        <v/>
      </c>
    </row>
    <row r="40" ht="15.75" customHeight="1">
      <c r="E40" s="12" t="str">
        <f t="shared" si="2"/>
        <v/>
      </c>
    </row>
    <row r="41" ht="15.75" customHeight="1">
      <c r="E41" s="12" t="str">
        <f t="shared" si="2"/>
        <v/>
      </c>
    </row>
    <row r="42" ht="15.75" customHeight="1">
      <c r="E42" s="12" t="str">
        <f t="shared" si="2"/>
        <v/>
      </c>
    </row>
    <row r="43" ht="15.75" customHeight="1">
      <c r="E43" s="12" t="str">
        <f t="shared" si="2"/>
        <v/>
      </c>
    </row>
    <row r="44" ht="15.75" customHeight="1">
      <c r="E44" s="12" t="str">
        <f t="shared" si="2"/>
        <v/>
      </c>
    </row>
    <row r="45" ht="15.75" customHeight="1">
      <c r="E45" s="12" t="str">
        <f t="shared" si="2"/>
        <v/>
      </c>
    </row>
    <row r="46" ht="15.75" customHeight="1">
      <c r="E46" s="12" t="str">
        <f t="shared" si="2"/>
        <v/>
      </c>
    </row>
    <row r="47" ht="15.75" customHeight="1">
      <c r="E47" s="12" t="str">
        <f t="shared" si="2"/>
        <v/>
      </c>
    </row>
    <row r="48" ht="15.75" customHeight="1">
      <c r="E48" s="12" t="str">
        <f t="shared" si="2"/>
        <v/>
      </c>
    </row>
    <row r="49" ht="15.75" customHeight="1">
      <c r="E49" s="12" t="str">
        <f t="shared" si="2"/>
        <v/>
      </c>
    </row>
    <row r="50" ht="15.75" customHeight="1">
      <c r="E50" s="12" t="str">
        <f t="shared" si="2"/>
        <v/>
      </c>
    </row>
    <row r="51" ht="15.75" customHeight="1">
      <c r="E51" s="12" t="str">
        <f t="shared" si="2"/>
        <v/>
      </c>
    </row>
    <row r="52" ht="15.75" customHeight="1">
      <c r="E52" s="12" t="str">
        <f t="shared" si="2"/>
        <v/>
      </c>
    </row>
    <row r="53" ht="15.75" customHeight="1">
      <c r="E53" s="12" t="str">
        <f t="shared" si="2"/>
        <v/>
      </c>
    </row>
    <row r="54" ht="15.75" customHeight="1">
      <c r="E54" s="12" t="str">
        <f t="shared" si="2"/>
        <v/>
      </c>
    </row>
    <row r="55" ht="15.75" customHeight="1">
      <c r="E55" s="12" t="str">
        <f t="shared" si="2"/>
        <v/>
      </c>
    </row>
    <row r="56" ht="15.75" customHeight="1">
      <c r="E56" s="12" t="str">
        <f t="shared" si="2"/>
        <v/>
      </c>
    </row>
    <row r="57" ht="15.75" customHeight="1">
      <c r="E57" s="12" t="str">
        <f t="shared" si="2"/>
        <v/>
      </c>
    </row>
    <row r="58" ht="15.75" customHeight="1">
      <c r="E58" s="12" t="str">
        <f t="shared" si="2"/>
        <v/>
      </c>
    </row>
    <row r="59" ht="15.75" customHeight="1">
      <c r="E59" s="12" t="str">
        <f t="shared" si="2"/>
        <v/>
      </c>
    </row>
    <row r="60" ht="15.75" customHeight="1">
      <c r="E60" s="12" t="str">
        <f t="shared" si="2"/>
        <v/>
      </c>
    </row>
    <row r="61" ht="15.75" customHeight="1">
      <c r="E61" s="12" t="str">
        <f t="shared" si="2"/>
        <v/>
      </c>
    </row>
    <row r="62" ht="15.75" customHeight="1">
      <c r="E62" s="12" t="str">
        <f t="shared" si="2"/>
        <v/>
      </c>
    </row>
    <row r="63" ht="15.75" customHeight="1">
      <c r="E63" s="12" t="str">
        <f t="shared" si="2"/>
        <v/>
      </c>
    </row>
    <row r="64" ht="15.75" customHeight="1">
      <c r="E64" s="12" t="str">
        <f t="shared" si="2"/>
        <v/>
      </c>
    </row>
    <row r="65" ht="15.75" customHeight="1">
      <c r="E65" s="12" t="str">
        <f t="shared" si="2"/>
        <v/>
      </c>
    </row>
    <row r="66" ht="15.75" customHeight="1">
      <c r="E66" s="12" t="str">
        <f t="shared" si="2"/>
        <v/>
      </c>
    </row>
    <row r="67" ht="15.75" customHeight="1">
      <c r="E67" s="12" t="str">
        <f t="shared" si="2"/>
        <v/>
      </c>
    </row>
    <row r="68" ht="15.75" customHeight="1">
      <c r="E68" s="12" t="str">
        <f t="shared" si="2"/>
        <v/>
      </c>
    </row>
    <row r="69" ht="15.75" customHeight="1">
      <c r="E69" s="12" t="str">
        <f t="shared" si="2"/>
        <v/>
      </c>
    </row>
    <row r="70" ht="15.75" customHeight="1">
      <c r="E70" s="12" t="str">
        <f t="shared" si="2"/>
        <v/>
      </c>
    </row>
    <row r="71" ht="15.75" customHeight="1">
      <c r="E71" s="12" t="str">
        <f t="shared" si="2"/>
        <v/>
      </c>
    </row>
    <row r="72" ht="15.75" customHeight="1">
      <c r="E72" s="12" t="str">
        <f t="shared" si="2"/>
        <v/>
      </c>
    </row>
    <row r="73" ht="15.75" customHeight="1">
      <c r="E73" s="12" t="str">
        <f t="shared" si="2"/>
        <v/>
      </c>
    </row>
    <row r="74" ht="15.75" customHeight="1">
      <c r="E74" s="12" t="str">
        <f t="shared" si="2"/>
        <v/>
      </c>
    </row>
    <row r="75" ht="15.75" customHeight="1">
      <c r="E75" s="12" t="str">
        <f t="shared" si="2"/>
        <v/>
      </c>
    </row>
    <row r="76" ht="15.75" customHeight="1">
      <c r="E76" s="12" t="str">
        <f t="shared" si="2"/>
        <v/>
      </c>
    </row>
    <row r="77" ht="15.75" customHeight="1">
      <c r="E77" s="12" t="str">
        <f t="shared" si="2"/>
        <v/>
      </c>
    </row>
    <row r="78" ht="15.75" customHeight="1">
      <c r="E78" s="12" t="str">
        <f t="shared" si="2"/>
        <v/>
      </c>
    </row>
    <row r="79" ht="15.75" customHeight="1">
      <c r="E79" s="12" t="str">
        <f t="shared" si="2"/>
        <v/>
      </c>
    </row>
    <row r="80" ht="15.75" customHeight="1">
      <c r="E80" s="12" t="str">
        <f t="shared" si="2"/>
        <v/>
      </c>
    </row>
    <row r="81" ht="15.75" customHeight="1">
      <c r="E81" s="12" t="str">
        <f t="shared" si="2"/>
        <v/>
      </c>
    </row>
    <row r="82" ht="15.75" customHeight="1">
      <c r="E82" s="12" t="str">
        <f t="shared" si="2"/>
        <v/>
      </c>
    </row>
    <row r="83" ht="15.75" customHeight="1">
      <c r="E83" s="12" t="str">
        <f t="shared" si="2"/>
        <v/>
      </c>
    </row>
    <row r="84" ht="15.75" customHeight="1">
      <c r="E84" s="12" t="str">
        <f t="shared" si="2"/>
        <v/>
      </c>
    </row>
    <row r="85" ht="15.75" customHeight="1">
      <c r="E85" s="12" t="str">
        <f t="shared" si="2"/>
        <v/>
      </c>
    </row>
    <row r="86" ht="15.75" customHeight="1">
      <c r="E86" s="12" t="str">
        <f t="shared" si="2"/>
        <v/>
      </c>
    </row>
    <row r="87" ht="15.75" customHeight="1">
      <c r="E87" s="12" t="str">
        <f t="shared" si="2"/>
        <v/>
      </c>
    </row>
    <row r="88" ht="15.75" customHeight="1">
      <c r="E88" s="12" t="str">
        <f t="shared" si="2"/>
        <v/>
      </c>
    </row>
    <row r="89" ht="15.75" customHeight="1">
      <c r="E89" s="12" t="str">
        <f t="shared" si="2"/>
        <v/>
      </c>
    </row>
    <row r="90" ht="15.75" customHeight="1">
      <c r="E90" s="12" t="str">
        <f t="shared" si="2"/>
        <v/>
      </c>
    </row>
    <row r="91" ht="15.75" customHeight="1">
      <c r="E91" s="12" t="str">
        <f t="shared" si="2"/>
        <v/>
      </c>
    </row>
    <row r="92" ht="15.75" customHeight="1">
      <c r="E92" s="12" t="str">
        <f t="shared" si="2"/>
        <v/>
      </c>
    </row>
    <row r="93" ht="15.75" customHeight="1">
      <c r="E93" s="12" t="str">
        <f t="shared" si="2"/>
        <v/>
      </c>
    </row>
    <row r="94" ht="15.75" customHeight="1">
      <c r="E94" s="12" t="str">
        <f t="shared" si="2"/>
        <v/>
      </c>
    </row>
    <row r="95" ht="15.75" customHeight="1">
      <c r="E95" s="12" t="str">
        <f t="shared" si="2"/>
        <v/>
      </c>
    </row>
    <row r="96" ht="15.75" customHeight="1">
      <c r="E96" s="12" t="str">
        <f t="shared" si="2"/>
        <v/>
      </c>
    </row>
    <row r="97" ht="15.75" customHeight="1">
      <c r="E97" s="12" t="str">
        <f t="shared" si="2"/>
        <v/>
      </c>
    </row>
    <row r="98" ht="15.75" customHeight="1">
      <c r="E98" s="12" t="str">
        <f t="shared" si="2"/>
        <v/>
      </c>
    </row>
    <row r="99" ht="15.75" customHeight="1">
      <c r="E99" s="12" t="str">
        <f t="shared" si="2"/>
        <v/>
      </c>
    </row>
    <row r="100" ht="15.75" customHeight="1">
      <c r="E100" s="12" t="str">
        <f t="shared" si="2"/>
        <v/>
      </c>
    </row>
    <row r="101" ht="15.75" customHeight="1">
      <c r="E101" s="12" t="str">
        <f t="shared" si="2"/>
        <v/>
      </c>
    </row>
    <row r="102" ht="15.75" customHeight="1">
      <c r="E102" s="12" t="str">
        <f t="shared" si="2"/>
        <v/>
      </c>
    </row>
    <row r="103" ht="15.75" customHeight="1">
      <c r="E103" s="12" t="str">
        <f t="shared" si="2"/>
        <v/>
      </c>
    </row>
    <row r="104" ht="15.75" customHeight="1">
      <c r="E104" s="12" t="str">
        <f t="shared" si="2"/>
        <v/>
      </c>
    </row>
    <row r="105" ht="15.75" customHeight="1">
      <c r="E105" s="12" t="str">
        <f t="shared" si="2"/>
        <v/>
      </c>
    </row>
    <row r="106" ht="15.75" customHeight="1">
      <c r="E106" s="12" t="str">
        <f t="shared" si="2"/>
        <v/>
      </c>
    </row>
    <row r="107" ht="15.75" customHeight="1">
      <c r="E107" s="12" t="str">
        <f t="shared" si="2"/>
        <v/>
      </c>
    </row>
    <row r="108" ht="15.75" customHeight="1">
      <c r="E108" s="12" t="str">
        <f t="shared" si="2"/>
        <v/>
      </c>
    </row>
    <row r="109" ht="15.75" customHeight="1">
      <c r="E109" s="12" t="str">
        <f t="shared" si="2"/>
        <v/>
      </c>
    </row>
    <row r="110" ht="15.75" customHeight="1">
      <c r="E110" s="12" t="str">
        <f t="shared" si="2"/>
        <v/>
      </c>
    </row>
    <row r="111" ht="15.75" customHeight="1">
      <c r="E111" s="12" t="str">
        <f t="shared" si="2"/>
        <v/>
      </c>
    </row>
    <row r="112" ht="15.75" customHeight="1">
      <c r="E112" s="12" t="str">
        <f t="shared" si="2"/>
        <v/>
      </c>
    </row>
    <row r="113" ht="15.75" customHeight="1">
      <c r="E113" s="12" t="str">
        <f t="shared" si="2"/>
        <v/>
      </c>
    </row>
    <row r="114" ht="15.75" customHeight="1">
      <c r="E114" s="12" t="str">
        <f t="shared" si="2"/>
        <v/>
      </c>
    </row>
    <row r="115" ht="15.75" customHeight="1">
      <c r="E115" s="12" t="str">
        <f t="shared" si="2"/>
        <v/>
      </c>
    </row>
    <row r="116" ht="15.75" customHeight="1">
      <c r="E116" s="12" t="str">
        <f t="shared" si="2"/>
        <v/>
      </c>
    </row>
    <row r="117" ht="15.75" customHeight="1">
      <c r="E117" s="12" t="str">
        <f t="shared" si="2"/>
        <v/>
      </c>
    </row>
    <row r="118" ht="15.75" customHeight="1">
      <c r="E118" s="12" t="str">
        <f t="shared" si="2"/>
        <v/>
      </c>
    </row>
    <row r="119" ht="15.75" customHeight="1">
      <c r="E119" s="12" t="str">
        <f t="shared" si="2"/>
        <v/>
      </c>
    </row>
    <row r="120" ht="15.75" customHeight="1">
      <c r="E120" s="12" t="str">
        <f t="shared" si="2"/>
        <v/>
      </c>
    </row>
    <row r="121" ht="15.75" customHeight="1">
      <c r="E121" s="12" t="str">
        <f t="shared" si="2"/>
        <v/>
      </c>
    </row>
    <row r="122" ht="15.75" customHeight="1">
      <c r="E122" s="12" t="str">
        <f t="shared" si="2"/>
        <v/>
      </c>
    </row>
    <row r="123" ht="15.75" customHeight="1">
      <c r="E123" s="12" t="str">
        <f t="shared" si="2"/>
        <v/>
      </c>
    </row>
    <row r="124" ht="15.75" customHeight="1">
      <c r="E124" s="12" t="str">
        <f t="shared" si="2"/>
        <v/>
      </c>
    </row>
    <row r="125" ht="15.75" customHeight="1">
      <c r="E125" s="12" t="str">
        <f t="shared" si="2"/>
        <v/>
      </c>
    </row>
    <row r="126" ht="15.75" customHeight="1">
      <c r="E126" s="12" t="str">
        <f t="shared" si="2"/>
        <v/>
      </c>
    </row>
    <row r="127" ht="15.75" customHeight="1">
      <c r="E127" s="12" t="str">
        <f t="shared" si="2"/>
        <v/>
      </c>
    </row>
    <row r="128" ht="15.75" customHeight="1">
      <c r="E128" s="12" t="str">
        <f t="shared" si="2"/>
        <v/>
      </c>
    </row>
    <row r="129" ht="15.75" customHeight="1">
      <c r="E129" s="12" t="str">
        <f t="shared" si="2"/>
        <v/>
      </c>
    </row>
    <row r="130" ht="15.75" customHeight="1">
      <c r="E130" s="12" t="str">
        <f t="shared" si="2"/>
        <v/>
      </c>
    </row>
    <row r="131" ht="15.75" customHeight="1">
      <c r="E131" s="12" t="str">
        <f t="shared" si="2"/>
        <v/>
      </c>
    </row>
    <row r="132" ht="15.75" customHeight="1">
      <c r="E132" s="12" t="str">
        <f t="shared" si="2"/>
        <v/>
      </c>
    </row>
    <row r="133" ht="15.75" customHeight="1">
      <c r="E133" s="12" t="str">
        <f t="shared" si="2"/>
        <v/>
      </c>
    </row>
    <row r="134" ht="15.75" customHeight="1">
      <c r="E134" s="12" t="str">
        <f t="shared" si="2"/>
        <v/>
      </c>
    </row>
    <row r="135" ht="15.75" customHeight="1">
      <c r="E135" s="12" t="str">
        <f t="shared" si="2"/>
        <v/>
      </c>
    </row>
    <row r="136" ht="15.75" customHeight="1">
      <c r="E136" s="12" t="str">
        <f t="shared" si="2"/>
        <v/>
      </c>
    </row>
    <row r="137" ht="15.75" customHeight="1">
      <c r="E137" s="12" t="str">
        <f t="shared" si="2"/>
        <v/>
      </c>
    </row>
    <row r="138" ht="15.75" customHeight="1">
      <c r="E138" s="12" t="str">
        <f t="shared" si="2"/>
        <v/>
      </c>
    </row>
    <row r="139" ht="15.75" customHeight="1">
      <c r="E139" s="12" t="str">
        <f t="shared" si="2"/>
        <v/>
      </c>
    </row>
    <row r="140" ht="15.75" customHeight="1">
      <c r="E140" s="12" t="str">
        <f t="shared" si="2"/>
        <v/>
      </c>
    </row>
    <row r="141" ht="15.75" customHeight="1">
      <c r="E141" s="12" t="str">
        <f t="shared" si="2"/>
        <v/>
      </c>
    </row>
    <row r="142" ht="15.75" customHeight="1">
      <c r="E142" s="12" t="str">
        <f t="shared" si="2"/>
        <v/>
      </c>
    </row>
    <row r="143" ht="15.75" customHeight="1">
      <c r="E143" s="12" t="str">
        <f t="shared" si="2"/>
        <v/>
      </c>
    </row>
    <row r="144" ht="15.75" customHeight="1">
      <c r="E144" s="12" t="str">
        <f t="shared" si="2"/>
        <v/>
      </c>
    </row>
    <row r="145" ht="15.75" customHeight="1">
      <c r="E145" s="12" t="str">
        <f t="shared" si="2"/>
        <v/>
      </c>
    </row>
    <row r="146" ht="15.75" customHeight="1">
      <c r="E146" s="12" t="str">
        <f t="shared" si="2"/>
        <v/>
      </c>
    </row>
    <row r="147" ht="15.75" customHeight="1">
      <c r="E147" s="12" t="str">
        <f t="shared" si="2"/>
        <v/>
      </c>
    </row>
    <row r="148" ht="15.75" customHeight="1">
      <c r="E148" s="12" t="str">
        <f t="shared" si="2"/>
        <v/>
      </c>
    </row>
    <row r="149" ht="15.75" customHeight="1">
      <c r="E149" s="12" t="str">
        <f t="shared" si="2"/>
        <v/>
      </c>
    </row>
    <row r="150" ht="15.75" customHeight="1">
      <c r="E150" s="12" t="str">
        <f t="shared" si="2"/>
        <v/>
      </c>
    </row>
    <row r="151" ht="15.75" customHeight="1">
      <c r="E151" s="12" t="str">
        <f t="shared" si="2"/>
        <v/>
      </c>
    </row>
    <row r="152" ht="15.75" customHeight="1">
      <c r="E152" s="12" t="str">
        <f t="shared" si="2"/>
        <v/>
      </c>
    </row>
    <row r="153" ht="15.75" customHeight="1">
      <c r="E153" s="12" t="str">
        <f t="shared" si="2"/>
        <v/>
      </c>
    </row>
    <row r="154" ht="15.75" customHeight="1">
      <c r="E154" s="12" t="str">
        <f t="shared" si="2"/>
        <v/>
      </c>
    </row>
    <row r="155" ht="15.75" customHeight="1">
      <c r="E155" s="12" t="str">
        <f t="shared" si="2"/>
        <v/>
      </c>
    </row>
    <row r="156" ht="15.75" customHeight="1">
      <c r="E156" s="12" t="str">
        <f t="shared" si="2"/>
        <v/>
      </c>
    </row>
    <row r="157" ht="15.75" customHeight="1">
      <c r="E157" s="12" t="str">
        <f t="shared" si="2"/>
        <v/>
      </c>
    </row>
    <row r="158" ht="15.75" customHeight="1">
      <c r="E158" s="12" t="str">
        <f t="shared" si="2"/>
        <v/>
      </c>
    </row>
    <row r="159" ht="15.75" customHeight="1">
      <c r="E159" s="12" t="str">
        <f t="shared" si="2"/>
        <v/>
      </c>
    </row>
    <row r="160" ht="15.75" customHeight="1">
      <c r="E160" s="12" t="str">
        <f t="shared" si="2"/>
        <v/>
      </c>
    </row>
    <row r="161" ht="15.75" customHeight="1">
      <c r="E161" s="12" t="str">
        <f t="shared" si="2"/>
        <v/>
      </c>
    </row>
    <row r="162" ht="15.75" customHeight="1">
      <c r="E162" s="12" t="str">
        <f t="shared" si="2"/>
        <v/>
      </c>
    </row>
    <row r="163" ht="15.75" customHeight="1">
      <c r="E163" s="12" t="str">
        <f t="shared" si="2"/>
        <v/>
      </c>
    </row>
    <row r="164" ht="15.75" customHeight="1">
      <c r="E164" s="12" t="str">
        <f t="shared" si="2"/>
        <v/>
      </c>
    </row>
    <row r="165" ht="15.75" customHeight="1">
      <c r="E165" s="12" t="str">
        <f t="shared" si="2"/>
        <v/>
      </c>
    </row>
    <row r="166" ht="15.75" customHeight="1">
      <c r="E166" s="12" t="str">
        <f t="shared" si="2"/>
        <v/>
      </c>
    </row>
    <row r="167" ht="15.75" customHeight="1">
      <c r="E167" s="12" t="str">
        <f t="shared" si="2"/>
        <v/>
      </c>
    </row>
    <row r="168" ht="15.75" customHeight="1">
      <c r="E168" s="12" t="str">
        <f t="shared" si="2"/>
        <v/>
      </c>
    </row>
    <row r="169" ht="15.75" customHeight="1">
      <c r="E169" s="12" t="str">
        <f t="shared" si="2"/>
        <v/>
      </c>
    </row>
    <row r="170" ht="15.75" customHeight="1">
      <c r="E170" s="12" t="str">
        <f t="shared" si="2"/>
        <v/>
      </c>
    </row>
    <row r="171" ht="15.75" customHeight="1">
      <c r="E171" s="12" t="str">
        <f t="shared" si="2"/>
        <v/>
      </c>
    </row>
    <row r="172" ht="15.75" customHeight="1">
      <c r="E172" s="12" t="str">
        <f t="shared" si="2"/>
        <v/>
      </c>
    </row>
    <row r="173" ht="15.75" customHeight="1">
      <c r="E173" s="12" t="str">
        <f t="shared" si="2"/>
        <v/>
      </c>
    </row>
    <row r="174" ht="15.75" customHeight="1">
      <c r="E174" s="12" t="str">
        <f t="shared" si="2"/>
        <v/>
      </c>
    </row>
    <row r="175" ht="15.75" customHeight="1">
      <c r="E175" s="12" t="str">
        <f t="shared" si="2"/>
        <v/>
      </c>
    </row>
    <row r="176" ht="15.75" customHeight="1">
      <c r="E176" s="12" t="str">
        <f t="shared" si="2"/>
        <v/>
      </c>
    </row>
    <row r="177" ht="15.75" customHeight="1">
      <c r="E177" s="12" t="str">
        <f t="shared" si="2"/>
        <v/>
      </c>
    </row>
    <row r="178" ht="15.75" customHeight="1">
      <c r="E178" s="12" t="str">
        <f t="shared" si="2"/>
        <v/>
      </c>
    </row>
    <row r="179" ht="15.75" customHeight="1">
      <c r="E179" s="12" t="str">
        <f t="shared" si="2"/>
        <v/>
      </c>
    </row>
    <row r="180" ht="15.75" customHeight="1">
      <c r="E180" s="12" t="str">
        <f t="shared" si="2"/>
        <v/>
      </c>
    </row>
    <row r="181" ht="15.75" customHeight="1">
      <c r="E181" s="12" t="str">
        <f t="shared" si="2"/>
        <v/>
      </c>
    </row>
    <row r="182" ht="15.75" customHeight="1">
      <c r="E182" s="12" t="str">
        <f t="shared" si="2"/>
        <v/>
      </c>
    </row>
    <row r="183" ht="15.75" customHeight="1">
      <c r="E183" s="12" t="str">
        <f t="shared" si="2"/>
        <v/>
      </c>
    </row>
    <row r="184" ht="15.75" customHeight="1">
      <c r="E184" s="12" t="str">
        <f t="shared" si="2"/>
        <v/>
      </c>
    </row>
    <row r="185" ht="15.75" customHeight="1">
      <c r="E185" s="12" t="str">
        <f t="shared" si="2"/>
        <v/>
      </c>
    </row>
    <row r="186" ht="15.75" customHeight="1">
      <c r="E186" s="12" t="str">
        <f t="shared" si="2"/>
        <v/>
      </c>
    </row>
    <row r="187" ht="15.75" customHeight="1">
      <c r="E187" s="12" t="str">
        <f t="shared" si="2"/>
        <v/>
      </c>
    </row>
    <row r="188" ht="15.75" customHeight="1">
      <c r="E188" s="12" t="str">
        <f t="shared" si="2"/>
        <v/>
      </c>
    </row>
    <row r="189" ht="15.75" customHeight="1">
      <c r="E189" s="12" t="str">
        <f t="shared" si="2"/>
        <v/>
      </c>
    </row>
    <row r="190" ht="15.75" customHeight="1">
      <c r="E190" s="12" t="str">
        <f t="shared" si="2"/>
        <v/>
      </c>
    </row>
    <row r="191" ht="15.75" customHeight="1">
      <c r="E191" s="12" t="str">
        <f t="shared" si="2"/>
        <v/>
      </c>
    </row>
    <row r="192" ht="15.75" customHeight="1">
      <c r="E192" s="12" t="str">
        <f t="shared" si="2"/>
        <v/>
      </c>
    </row>
    <row r="193" ht="15.75" customHeight="1">
      <c r="E193" s="12" t="str">
        <f t="shared" si="2"/>
        <v/>
      </c>
    </row>
    <row r="194" ht="15.75" customHeight="1">
      <c r="E194" s="12" t="str">
        <f t="shared" si="2"/>
        <v/>
      </c>
    </row>
    <row r="195" ht="15.75" customHeight="1">
      <c r="E195" s="12" t="str">
        <f t="shared" si="2"/>
        <v/>
      </c>
    </row>
    <row r="196" ht="15.75" customHeight="1">
      <c r="E196" s="12" t="str">
        <f t="shared" si="2"/>
        <v/>
      </c>
    </row>
    <row r="197" ht="15.75" customHeight="1">
      <c r="E197" s="12" t="str">
        <f t="shared" si="2"/>
        <v/>
      </c>
    </row>
    <row r="198" ht="15.75" customHeight="1">
      <c r="E198" s="12" t="str">
        <f t="shared" si="2"/>
        <v/>
      </c>
    </row>
    <row r="199" ht="15.75" customHeight="1">
      <c r="E199" s="12" t="str">
        <f t="shared" si="2"/>
        <v/>
      </c>
    </row>
    <row r="200" ht="15.75" customHeight="1">
      <c r="E200" s="12" t="str">
        <f t="shared" si="2"/>
        <v/>
      </c>
    </row>
    <row r="201" ht="15.75" customHeight="1">
      <c r="E201" s="12" t="str">
        <f t="shared" si="2"/>
        <v/>
      </c>
    </row>
    <row r="202" ht="15.75" customHeight="1">
      <c r="E202" s="12" t="str">
        <f t="shared" si="2"/>
        <v/>
      </c>
    </row>
    <row r="203" ht="15.75" customHeight="1">
      <c r="E203" s="12" t="str">
        <f t="shared" si="2"/>
        <v/>
      </c>
    </row>
    <row r="204" ht="15.75" customHeight="1">
      <c r="E204" s="12" t="str">
        <f t="shared" si="2"/>
        <v/>
      </c>
    </row>
    <row r="205" ht="15.75" customHeight="1">
      <c r="E205" s="12" t="str">
        <f t="shared" si="2"/>
        <v/>
      </c>
    </row>
    <row r="206" ht="15.75" customHeight="1">
      <c r="E206" s="12" t="str">
        <f t="shared" si="2"/>
        <v/>
      </c>
    </row>
    <row r="207" ht="15.75" customHeight="1">
      <c r="E207" s="12" t="str">
        <f t="shared" si="2"/>
        <v/>
      </c>
    </row>
    <row r="208" ht="15.75" customHeight="1">
      <c r="E208" s="12" t="str">
        <f t="shared" si="2"/>
        <v/>
      </c>
    </row>
    <row r="209" ht="15.75" customHeight="1">
      <c r="E209" s="12" t="str">
        <f t="shared" si="2"/>
        <v/>
      </c>
    </row>
    <row r="210" ht="15.75" customHeight="1">
      <c r="E210" s="12" t="str">
        <f t="shared" si="2"/>
        <v/>
      </c>
    </row>
    <row r="211" ht="15.75" customHeight="1">
      <c r="E211" s="12" t="str">
        <f t="shared" si="2"/>
        <v/>
      </c>
    </row>
    <row r="212" ht="15.75" customHeight="1">
      <c r="E212" s="12" t="str">
        <f t="shared" si="2"/>
        <v/>
      </c>
    </row>
    <row r="213" ht="15.75" customHeight="1">
      <c r="E213" s="12" t="str">
        <f t="shared" si="2"/>
        <v/>
      </c>
    </row>
    <row r="214" ht="15.75" customHeight="1">
      <c r="E214" s="12" t="str">
        <f t="shared" si="2"/>
        <v/>
      </c>
    </row>
    <row r="215" ht="15.75" customHeight="1">
      <c r="E215" s="12" t="str">
        <f t="shared" si="2"/>
        <v/>
      </c>
    </row>
    <row r="216" ht="15.75" customHeight="1">
      <c r="E216" s="12" t="str">
        <f t="shared" si="2"/>
        <v/>
      </c>
    </row>
    <row r="217" ht="15.75" customHeight="1">
      <c r="E217" s="12" t="str">
        <f t="shared" si="2"/>
        <v/>
      </c>
    </row>
    <row r="218" ht="15.75" customHeight="1">
      <c r="E218" s="12" t="str">
        <f t="shared" si="2"/>
        <v/>
      </c>
    </row>
    <row r="219" ht="15.75" customHeight="1">
      <c r="E219" s="12" t="str">
        <f t="shared" si="2"/>
        <v/>
      </c>
    </row>
    <row r="220" ht="15.75" customHeight="1">
      <c r="E220" s="12" t="str">
        <f t="shared" si="2"/>
        <v/>
      </c>
    </row>
    <row r="221" ht="15.75" customHeight="1">
      <c r="E221" s="12" t="str">
        <f t="shared" si="2"/>
        <v/>
      </c>
    </row>
    <row r="222" ht="15.75" customHeight="1">
      <c r="E222" s="12" t="str">
        <f t="shared" si="2"/>
        <v/>
      </c>
    </row>
    <row r="223" ht="15.75" customHeight="1">
      <c r="E223" s="12" t="str">
        <f t="shared" si="2"/>
        <v/>
      </c>
    </row>
    <row r="224" ht="15.75" customHeight="1">
      <c r="E224" s="12" t="str">
        <f t="shared" si="2"/>
        <v/>
      </c>
    </row>
    <row r="225" ht="15.75" customHeight="1">
      <c r="E225" s="12" t="str">
        <f t="shared" si="2"/>
        <v/>
      </c>
    </row>
    <row r="226" ht="15.75" customHeight="1">
      <c r="E226" s="12" t="str">
        <f t="shared" si="2"/>
        <v/>
      </c>
    </row>
    <row r="227" ht="15.75" customHeight="1">
      <c r="E227" s="12" t="str">
        <f t="shared" si="2"/>
        <v/>
      </c>
    </row>
    <row r="228" ht="15.75" customHeight="1">
      <c r="E228" s="12" t="str">
        <f t="shared" si="2"/>
        <v/>
      </c>
    </row>
    <row r="229" ht="15.75" customHeight="1">
      <c r="E229" s="12" t="str">
        <f t="shared" si="2"/>
        <v/>
      </c>
    </row>
    <row r="230" ht="15.75" customHeight="1">
      <c r="E230" s="12" t="str">
        <f t="shared" si="2"/>
        <v/>
      </c>
    </row>
    <row r="231" ht="15.75" customHeight="1">
      <c r="E231" s="12" t="str">
        <f t="shared" si="2"/>
        <v/>
      </c>
    </row>
    <row r="232" ht="15.75" customHeight="1">
      <c r="E232" s="12" t="str">
        <f t="shared" si="2"/>
        <v/>
      </c>
    </row>
    <row r="233" ht="15.75" customHeight="1">
      <c r="E233" s="12" t="str">
        <f t="shared" si="2"/>
        <v/>
      </c>
    </row>
    <row r="234" ht="15.75" customHeight="1">
      <c r="E234" s="12" t="str">
        <f t="shared" si="2"/>
        <v/>
      </c>
    </row>
    <row r="235" ht="15.75" customHeight="1">
      <c r="E235" s="12" t="str">
        <f t="shared" si="2"/>
        <v/>
      </c>
    </row>
    <row r="236" ht="15.75" customHeight="1">
      <c r="E236" s="12" t="str">
        <f t="shared" si="2"/>
        <v/>
      </c>
    </row>
    <row r="237" ht="15.75" customHeight="1">
      <c r="E237" s="12" t="str">
        <f t="shared" si="2"/>
        <v/>
      </c>
    </row>
    <row r="238" ht="15.75" customHeight="1">
      <c r="E238" s="12" t="str">
        <f t="shared" si="2"/>
        <v/>
      </c>
    </row>
    <row r="239" ht="15.75" customHeight="1">
      <c r="E239" s="12" t="str">
        <f t="shared" si="2"/>
        <v/>
      </c>
    </row>
    <row r="240" ht="15.75" customHeight="1">
      <c r="E240" s="12" t="str">
        <f t="shared" si="2"/>
        <v/>
      </c>
    </row>
    <row r="241" ht="15.75" customHeight="1">
      <c r="E241" s="12" t="str">
        <f t="shared" si="2"/>
        <v/>
      </c>
    </row>
    <row r="242" ht="15.75" customHeight="1">
      <c r="E242" s="12" t="str">
        <f t="shared" si="2"/>
        <v/>
      </c>
    </row>
    <row r="243" ht="15.75" customHeight="1">
      <c r="E243" s="12" t="str">
        <f t="shared" si="2"/>
        <v/>
      </c>
    </row>
    <row r="244" ht="15.75" customHeight="1">
      <c r="E244" s="12" t="str">
        <f t="shared" si="2"/>
        <v/>
      </c>
    </row>
    <row r="245" ht="15.75" customHeight="1">
      <c r="E245" s="12" t="str">
        <f t="shared" si="2"/>
        <v/>
      </c>
    </row>
    <row r="246" ht="15.75" customHeight="1">
      <c r="E246" s="12" t="str">
        <f t="shared" si="2"/>
        <v/>
      </c>
    </row>
    <row r="247" ht="15.75" customHeight="1">
      <c r="E247" s="12" t="str">
        <f t="shared" si="2"/>
        <v/>
      </c>
    </row>
    <row r="248" ht="15.75" customHeight="1">
      <c r="E248" s="12" t="str">
        <f t="shared" si="2"/>
        <v/>
      </c>
    </row>
    <row r="249" ht="15.75" customHeight="1">
      <c r="E249" s="12" t="str">
        <f t="shared" si="2"/>
        <v/>
      </c>
    </row>
    <row r="250" ht="15.75" customHeight="1">
      <c r="E250" s="12" t="str">
        <f t="shared" si="2"/>
        <v/>
      </c>
    </row>
    <row r="251" ht="15.75" customHeight="1">
      <c r="E251" s="12" t="str">
        <f t="shared" si="2"/>
        <v/>
      </c>
    </row>
    <row r="252" ht="15.75" customHeight="1">
      <c r="E252" s="12" t="str">
        <f t="shared" si="2"/>
        <v/>
      </c>
    </row>
    <row r="253" ht="15.75" customHeight="1">
      <c r="E253" s="12" t="str">
        <f t="shared" si="2"/>
        <v/>
      </c>
    </row>
    <row r="254" ht="15.75" customHeight="1">
      <c r="E254" s="12" t="str">
        <f t="shared" si="2"/>
        <v/>
      </c>
    </row>
    <row r="255" ht="15.75" customHeight="1">
      <c r="E255" s="12" t="str">
        <f t="shared" si="2"/>
        <v/>
      </c>
    </row>
    <row r="256" ht="15.75" customHeight="1">
      <c r="E256" s="12" t="str">
        <f t="shared" si="2"/>
        <v/>
      </c>
    </row>
    <row r="257" ht="15.75" customHeight="1">
      <c r="E257" s="12" t="str">
        <f t="shared" si="2"/>
        <v/>
      </c>
    </row>
    <row r="258" ht="15.75" customHeight="1">
      <c r="E258" s="12" t="str">
        <f t="shared" si="2"/>
        <v/>
      </c>
    </row>
    <row r="259" ht="15.75" customHeight="1">
      <c r="E259" s="12" t="str">
        <f t="shared" si="2"/>
        <v/>
      </c>
    </row>
    <row r="260" ht="15.75" customHeight="1">
      <c r="E260" s="12" t="str">
        <f t="shared" si="2"/>
        <v/>
      </c>
    </row>
    <row r="261" ht="15.75" customHeight="1">
      <c r="E261" s="12" t="str">
        <f t="shared" si="2"/>
        <v/>
      </c>
    </row>
    <row r="262" ht="15.75" customHeight="1">
      <c r="E262" s="12" t="str">
        <f t="shared" si="2"/>
        <v/>
      </c>
    </row>
    <row r="263" ht="15.75" customHeight="1">
      <c r="E263" s="12" t="str">
        <f t="shared" si="2"/>
        <v/>
      </c>
    </row>
    <row r="264" ht="15.75" customHeight="1">
      <c r="E264" s="12" t="str">
        <f t="shared" si="2"/>
        <v/>
      </c>
    </row>
    <row r="265" ht="15.75" customHeight="1">
      <c r="E265" s="12" t="str">
        <f t="shared" si="2"/>
        <v/>
      </c>
    </row>
    <row r="266" ht="15.75" customHeight="1">
      <c r="E266" s="12" t="str">
        <f t="shared" si="2"/>
        <v/>
      </c>
    </row>
    <row r="267" ht="15.75" customHeight="1">
      <c r="E267" s="12" t="str">
        <f t="shared" si="2"/>
        <v/>
      </c>
    </row>
    <row r="268" ht="15.75" customHeight="1">
      <c r="E268" s="12" t="str">
        <f t="shared" si="2"/>
        <v/>
      </c>
    </row>
    <row r="269" ht="15.75" customHeight="1">
      <c r="E269" s="12" t="str">
        <f t="shared" si="2"/>
        <v/>
      </c>
    </row>
    <row r="270" ht="15.75" customHeight="1">
      <c r="E270" s="12" t="str">
        <f t="shared" si="2"/>
        <v/>
      </c>
    </row>
    <row r="271" ht="15.75" customHeight="1">
      <c r="E271" s="12" t="str">
        <f t="shared" si="2"/>
        <v/>
      </c>
    </row>
    <row r="272" ht="15.75" customHeight="1">
      <c r="E272" s="12" t="str">
        <f t="shared" si="2"/>
        <v/>
      </c>
    </row>
    <row r="273" ht="15.75" customHeight="1">
      <c r="E273" s="12" t="str">
        <f t="shared" si="2"/>
        <v/>
      </c>
    </row>
    <row r="274" ht="15.75" customHeight="1">
      <c r="E274" s="12" t="str">
        <f t="shared" si="2"/>
        <v/>
      </c>
    </row>
    <row r="275" ht="15.75" customHeight="1">
      <c r="E275" s="12" t="str">
        <f t="shared" si="2"/>
        <v/>
      </c>
    </row>
    <row r="276" ht="15.75" customHeight="1">
      <c r="E276" s="12" t="str">
        <f t="shared" si="2"/>
        <v/>
      </c>
    </row>
    <row r="277" ht="15.75" customHeight="1">
      <c r="E277" s="12" t="str">
        <f t="shared" si="2"/>
        <v/>
      </c>
    </row>
    <row r="278" ht="15.75" customHeight="1">
      <c r="E278" s="12" t="str">
        <f t="shared" si="2"/>
        <v/>
      </c>
    </row>
    <row r="279" ht="15.75" customHeight="1">
      <c r="E279" s="12" t="str">
        <f t="shared" si="2"/>
        <v/>
      </c>
    </row>
    <row r="280" ht="15.75" customHeight="1">
      <c r="E280" s="12" t="str">
        <f t="shared" si="2"/>
        <v/>
      </c>
    </row>
    <row r="281" ht="15.75" customHeight="1">
      <c r="E281" s="12" t="str">
        <f t="shared" si="2"/>
        <v/>
      </c>
    </row>
    <row r="282" ht="15.75" customHeight="1">
      <c r="E282" s="12" t="str">
        <f t="shared" si="2"/>
        <v/>
      </c>
    </row>
    <row r="283" ht="15.75" customHeight="1">
      <c r="E283" s="12" t="str">
        <f t="shared" si="2"/>
        <v/>
      </c>
    </row>
    <row r="284" ht="15.75" customHeight="1">
      <c r="E284" s="12" t="str">
        <f t="shared" si="2"/>
        <v/>
      </c>
    </row>
    <row r="285" ht="15.75" customHeight="1">
      <c r="E285" s="12" t="str">
        <f t="shared" si="2"/>
        <v/>
      </c>
    </row>
    <row r="286" ht="15.75" customHeight="1">
      <c r="E286" s="12" t="str">
        <f t="shared" si="2"/>
        <v/>
      </c>
    </row>
    <row r="287" ht="15.75" customHeight="1">
      <c r="E287" s="12" t="str">
        <f t="shared" si="2"/>
        <v/>
      </c>
    </row>
    <row r="288" ht="15.75" customHeight="1">
      <c r="E288" s="12" t="str">
        <f t="shared" si="2"/>
        <v/>
      </c>
    </row>
    <row r="289" ht="15.75" customHeight="1">
      <c r="E289" s="12" t="str">
        <f t="shared" si="2"/>
        <v/>
      </c>
    </row>
    <row r="290" ht="15.75" customHeight="1">
      <c r="E290" s="12" t="str">
        <f t="shared" si="2"/>
        <v/>
      </c>
    </row>
    <row r="291" ht="15.75" customHeight="1">
      <c r="E291" s="12" t="str">
        <f t="shared" si="2"/>
        <v/>
      </c>
    </row>
    <row r="292" ht="15.75" customHeight="1">
      <c r="E292" s="12" t="str">
        <f t="shared" si="2"/>
        <v/>
      </c>
    </row>
    <row r="293" ht="15.75" customHeight="1">
      <c r="E293" s="12" t="str">
        <f t="shared" si="2"/>
        <v/>
      </c>
    </row>
    <row r="294" ht="15.75" customHeight="1">
      <c r="E294" s="12" t="str">
        <f t="shared" si="2"/>
        <v/>
      </c>
    </row>
    <row r="295" ht="15.75" customHeight="1">
      <c r="E295" s="12" t="str">
        <f t="shared" si="2"/>
        <v/>
      </c>
    </row>
    <row r="296" ht="15.75" customHeight="1">
      <c r="E296" s="12" t="str">
        <f t="shared" si="2"/>
        <v/>
      </c>
    </row>
    <row r="297" ht="15.75" customHeight="1">
      <c r="E297" s="12" t="str">
        <f t="shared" si="2"/>
        <v/>
      </c>
    </row>
    <row r="298" ht="15.75" customHeight="1">
      <c r="E298" s="12" t="str">
        <f t="shared" si="2"/>
        <v/>
      </c>
    </row>
    <row r="299" ht="15.75" customHeight="1">
      <c r="E299" s="12" t="str">
        <f t="shared" si="2"/>
        <v/>
      </c>
    </row>
    <row r="300" ht="15.75" customHeight="1">
      <c r="E300" s="12" t="str">
        <f t="shared" si="2"/>
        <v/>
      </c>
    </row>
    <row r="301" ht="15.75" customHeight="1">
      <c r="E301" s="12" t="str">
        <f t="shared" si="2"/>
        <v/>
      </c>
    </row>
    <row r="302" ht="15.75" customHeight="1">
      <c r="E302" s="12" t="str">
        <f t="shared" si="2"/>
        <v/>
      </c>
    </row>
    <row r="303" ht="15.75" customHeight="1">
      <c r="E303" s="12" t="str">
        <f t="shared" si="2"/>
        <v/>
      </c>
    </row>
    <row r="304" ht="15.75" customHeight="1">
      <c r="E304" s="12" t="str">
        <f t="shared" si="2"/>
        <v/>
      </c>
    </row>
    <row r="305" ht="15.75" customHeight="1">
      <c r="E305" s="12" t="str">
        <f t="shared" si="2"/>
        <v/>
      </c>
    </row>
    <row r="306" ht="15.75" customHeight="1">
      <c r="E306" s="12" t="str">
        <f t="shared" si="2"/>
        <v/>
      </c>
    </row>
    <row r="307" ht="15.75" customHeight="1">
      <c r="E307" s="12" t="str">
        <f t="shared" si="2"/>
        <v/>
      </c>
    </row>
    <row r="308" ht="15.75" customHeight="1">
      <c r="E308" s="12" t="str">
        <f t="shared" si="2"/>
        <v/>
      </c>
    </row>
    <row r="309" ht="15.75" customHeight="1">
      <c r="E309" s="12" t="str">
        <f t="shared" si="2"/>
        <v/>
      </c>
    </row>
    <row r="310" ht="15.75" customHeight="1">
      <c r="E310" s="12" t="str">
        <f t="shared" si="2"/>
        <v/>
      </c>
    </row>
    <row r="311" ht="15.75" customHeight="1">
      <c r="E311" s="12" t="str">
        <f t="shared" si="2"/>
        <v/>
      </c>
    </row>
    <row r="312" ht="15.75" customHeight="1">
      <c r="E312" s="12" t="str">
        <f t="shared" si="2"/>
        <v/>
      </c>
    </row>
    <row r="313" ht="15.75" customHeight="1">
      <c r="E313" s="12" t="str">
        <f t="shared" si="2"/>
        <v/>
      </c>
    </row>
    <row r="314" ht="15.75" customHeight="1">
      <c r="E314" s="12" t="str">
        <f t="shared" si="2"/>
        <v/>
      </c>
    </row>
    <row r="315" ht="15.75" customHeight="1">
      <c r="E315" s="12" t="str">
        <f t="shared" si="2"/>
        <v/>
      </c>
    </row>
    <row r="316" ht="15.75" customHeight="1">
      <c r="E316" s="12" t="str">
        <f t="shared" si="2"/>
        <v/>
      </c>
    </row>
    <row r="317" ht="15.75" customHeight="1">
      <c r="E317" s="12" t="str">
        <f t="shared" si="2"/>
        <v/>
      </c>
    </row>
    <row r="318" ht="15.75" customHeight="1">
      <c r="E318" s="12" t="str">
        <f t="shared" si="2"/>
        <v/>
      </c>
    </row>
    <row r="319" ht="15.75" customHeight="1">
      <c r="E319" s="12" t="str">
        <f t="shared" si="2"/>
        <v/>
      </c>
    </row>
    <row r="320" ht="15.75" customHeight="1">
      <c r="E320" s="12" t="str">
        <f t="shared" si="2"/>
        <v/>
      </c>
    </row>
    <row r="321" ht="15.75" customHeight="1">
      <c r="E321" s="12" t="str">
        <f t="shared" si="2"/>
        <v/>
      </c>
    </row>
    <row r="322" ht="15.75" customHeight="1">
      <c r="E322" s="12" t="str">
        <f t="shared" si="2"/>
        <v/>
      </c>
    </row>
    <row r="323" ht="15.75" customHeight="1">
      <c r="E323" s="12" t="str">
        <f t="shared" si="2"/>
        <v/>
      </c>
    </row>
    <row r="324" ht="15.75" customHeight="1">
      <c r="E324" s="12" t="str">
        <f t="shared" si="2"/>
        <v/>
      </c>
    </row>
    <row r="325" ht="15.75" customHeight="1">
      <c r="E325" s="12" t="str">
        <f t="shared" si="2"/>
        <v/>
      </c>
    </row>
    <row r="326" ht="15.75" customHeight="1">
      <c r="E326" s="12" t="str">
        <f t="shared" si="2"/>
        <v/>
      </c>
    </row>
    <row r="327" ht="15.75" customHeight="1">
      <c r="E327" s="12" t="str">
        <f t="shared" si="2"/>
        <v/>
      </c>
    </row>
    <row r="328" ht="15.75" customHeight="1">
      <c r="E328" s="12" t="str">
        <f t="shared" si="2"/>
        <v/>
      </c>
    </row>
    <row r="329" ht="15.75" customHeight="1">
      <c r="E329" s="12" t="str">
        <f t="shared" si="2"/>
        <v/>
      </c>
    </row>
    <row r="330" ht="15.75" customHeight="1">
      <c r="E330" s="12" t="str">
        <f t="shared" si="2"/>
        <v/>
      </c>
    </row>
    <row r="331" ht="15.75" customHeight="1">
      <c r="E331" s="12" t="str">
        <f t="shared" si="2"/>
        <v/>
      </c>
    </row>
    <row r="332" ht="15.75" customHeight="1">
      <c r="E332" s="12" t="str">
        <f t="shared" si="2"/>
        <v/>
      </c>
    </row>
    <row r="333" ht="15.75" customHeight="1">
      <c r="E333" s="12" t="str">
        <f t="shared" si="2"/>
        <v/>
      </c>
    </row>
    <row r="334" ht="15.75" customHeight="1">
      <c r="E334" s="12" t="str">
        <f t="shared" si="2"/>
        <v/>
      </c>
    </row>
    <row r="335" ht="15.75" customHeight="1">
      <c r="E335" s="12" t="str">
        <f t="shared" si="2"/>
        <v/>
      </c>
    </row>
    <row r="336" ht="15.75" customHeight="1">
      <c r="E336" s="12" t="str">
        <f t="shared" si="2"/>
        <v/>
      </c>
    </row>
    <row r="337" ht="15.75" customHeight="1">
      <c r="E337" s="12" t="str">
        <f t="shared" si="2"/>
        <v/>
      </c>
    </row>
    <row r="338" ht="15.75" customHeight="1">
      <c r="E338" s="12" t="str">
        <f t="shared" si="2"/>
        <v/>
      </c>
    </row>
    <row r="339" ht="15.75" customHeight="1">
      <c r="E339" s="12" t="str">
        <f t="shared" si="2"/>
        <v/>
      </c>
    </row>
    <row r="340" ht="15.75" customHeight="1">
      <c r="E340" s="12" t="str">
        <f t="shared" si="2"/>
        <v/>
      </c>
    </row>
    <row r="341" ht="15.75" customHeight="1">
      <c r="E341" s="12" t="str">
        <f t="shared" si="2"/>
        <v/>
      </c>
    </row>
    <row r="342" ht="15.75" customHeight="1">
      <c r="E342" s="12" t="str">
        <f t="shared" si="2"/>
        <v/>
      </c>
    </row>
    <row r="343" ht="15.75" customHeight="1">
      <c r="E343" s="12" t="str">
        <f t="shared" si="2"/>
        <v/>
      </c>
    </row>
    <row r="344" ht="15.75" customHeight="1">
      <c r="E344" s="12" t="str">
        <f t="shared" si="2"/>
        <v/>
      </c>
    </row>
    <row r="345" ht="15.75" customHeight="1">
      <c r="E345" s="12" t="str">
        <f t="shared" si="2"/>
        <v/>
      </c>
    </row>
    <row r="346" ht="15.75" customHeight="1">
      <c r="E346" s="12" t="str">
        <f t="shared" si="2"/>
        <v/>
      </c>
    </row>
    <row r="347" ht="15.75" customHeight="1">
      <c r="E347" s="12" t="str">
        <f t="shared" si="2"/>
        <v/>
      </c>
    </row>
    <row r="348" ht="15.75" customHeight="1">
      <c r="E348" s="12" t="str">
        <f t="shared" si="2"/>
        <v/>
      </c>
    </row>
    <row r="349" ht="15.75" customHeight="1">
      <c r="E349" s="12" t="str">
        <f t="shared" si="2"/>
        <v/>
      </c>
    </row>
    <row r="350" ht="15.75" customHeight="1">
      <c r="E350" s="12" t="str">
        <f t="shared" si="2"/>
        <v/>
      </c>
    </row>
    <row r="351" ht="15.75" customHeight="1">
      <c r="E351" s="12" t="str">
        <f t="shared" si="2"/>
        <v/>
      </c>
    </row>
    <row r="352" ht="15.75" customHeight="1">
      <c r="E352" s="12" t="str">
        <f t="shared" si="2"/>
        <v/>
      </c>
    </row>
    <row r="353" ht="15.75" customHeight="1">
      <c r="E353" s="12" t="str">
        <f t="shared" si="2"/>
        <v/>
      </c>
    </row>
    <row r="354" ht="15.75" customHeight="1">
      <c r="E354" s="12" t="str">
        <f t="shared" si="2"/>
        <v/>
      </c>
    </row>
    <row r="355" ht="15.75" customHeight="1">
      <c r="E355" s="12" t="str">
        <f t="shared" si="2"/>
        <v/>
      </c>
    </row>
    <row r="356" ht="15.75" customHeight="1">
      <c r="E356" s="12" t="str">
        <f t="shared" si="2"/>
        <v/>
      </c>
    </row>
    <row r="357" ht="15.75" customHeight="1">
      <c r="E357" s="12" t="str">
        <f t="shared" si="2"/>
        <v/>
      </c>
    </row>
    <row r="358" ht="15.75" customHeight="1">
      <c r="E358" s="12" t="str">
        <f t="shared" si="2"/>
        <v/>
      </c>
    </row>
    <row r="359" ht="15.75" customHeight="1">
      <c r="E359" s="12" t="str">
        <f t="shared" si="2"/>
        <v/>
      </c>
    </row>
    <row r="360" ht="15.75" customHeight="1">
      <c r="E360" s="12" t="str">
        <f t="shared" si="2"/>
        <v/>
      </c>
    </row>
    <row r="361" ht="15.75" customHeight="1">
      <c r="E361" s="12" t="str">
        <f t="shared" si="2"/>
        <v/>
      </c>
    </row>
    <row r="362" ht="15.75" customHeight="1">
      <c r="E362" s="12" t="str">
        <f t="shared" si="2"/>
        <v/>
      </c>
    </row>
    <row r="363" ht="15.75" customHeight="1">
      <c r="E363" s="12" t="str">
        <f t="shared" si="2"/>
        <v/>
      </c>
    </row>
    <row r="364" ht="15.75" customHeight="1">
      <c r="E364" s="12" t="str">
        <f t="shared" si="2"/>
        <v/>
      </c>
    </row>
    <row r="365" ht="15.75" customHeight="1">
      <c r="E365" s="12" t="str">
        <f t="shared" si="2"/>
        <v/>
      </c>
    </row>
    <row r="366" ht="15.75" customHeight="1">
      <c r="E366" s="12" t="str">
        <f t="shared" si="2"/>
        <v/>
      </c>
    </row>
    <row r="367" ht="15.75" customHeight="1">
      <c r="E367" s="12" t="str">
        <f t="shared" si="2"/>
        <v/>
      </c>
    </row>
    <row r="368" ht="15.75" customHeight="1">
      <c r="E368" s="12" t="str">
        <f t="shared" si="2"/>
        <v/>
      </c>
    </row>
    <row r="369" ht="15.75" customHeight="1">
      <c r="E369" s="12" t="str">
        <f t="shared" si="2"/>
        <v/>
      </c>
    </row>
    <row r="370" ht="15.75" customHeight="1">
      <c r="E370" s="12" t="str">
        <f t="shared" si="2"/>
        <v/>
      </c>
    </row>
    <row r="371" ht="15.75" customHeight="1">
      <c r="E371" s="12" t="str">
        <f t="shared" si="2"/>
        <v/>
      </c>
    </row>
    <row r="372" ht="15.75" customHeight="1">
      <c r="E372" s="12" t="str">
        <f t="shared" si="2"/>
        <v/>
      </c>
    </row>
    <row r="373" ht="15.75" customHeight="1">
      <c r="E373" s="12" t="str">
        <f t="shared" si="2"/>
        <v/>
      </c>
    </row>
    <row r="374" ht="15.75" customHeight="1">
      <c r="E374" s="12" t="str">
        <f t="shared" si="2"/>
        <v/>
      </c>
    </row>
    <row r="375" ht="15.75" customHeight="1">
      <c r="E375" s="12" t="str">
        <f t="shared" si="2"/>
        <v/>
      </c>
    </row>
    <row r="376" ht="15.75" customHeight="1">
      <c r="E376" s="12" t="str">
        <f t="shared" si="2"/>
        <v/>
      </c>
    </row>
    <row r="377" ht="15.75" customHeight="1">
      <c r="E377" s="12" t="str">
        <f t="shared" si="2"/>
        <v/>
      </c>
    </row>
    <row r="378" ht="15.75" customHeight="1">
      <c r="E378" s="12" t="str">
        <f t="shared" si="2"/>
        <v/>
      </c>
    </row>
    <row r="379" ht="15.75" customHeight="1">
      <c r="E379" s="12" t="str">
        <f t="shared" si="2"/>
        <v/>
      </c>
    </row>
    <row r="380" ht="15.75" customHeight="1">
      <c r="E380" s="12" t="str">
        <f t="shared" si="2"/>
        <v/>
      </c>
    </row>
    <row r="381" ht="15.75" customHeight="1">
      <c r="E381" s="12" t="str">
        <f t="shared" si="2"/>
        <v/>
      </c>
    </row>
    <row r="382" ht="15.75" customHeight="1">
      <c r="E382" s="12" t="str">
        <f t="shared" si="2"/>
        <v/>
      </c>
    </row>
    <row r="383" ht="15.75" customHeight="1">
      <c r="E383" s="12" t="str">
        <f t="shared" si="2"/>
        <v/>
      </c>
    </row>
    <row r="384" ht="15.75" customHeight="1">
      <c r="E384" s="12" t="str">
        <f t="shared" si="2"/>
        <v/>
      </c>
    </row>
    <row r="385" ht="15.75" customHeight="1">
      <c r="E385" s="12" t="str">
        <f t="shared" si="2"/>
        <v/>
      </c>
    </row>
    <row r="386" ht="15.75" customHeight="1">
      <c r="E386" s="12" t="str">
        <f t="shared" si="2"/>
        <v/>
      </c>
    </row>
    <row r="387" ht="15.75" customHeight="1">
      <c r="E387" s="12" t="str">
        <f t="shared" si="2"/>
        <v/>
      </c>
    </row>
    <row r="388" ht="15.75" customHeight="1">
      <c r="E388" s="12" t="str">
        <f t="shared" si="2"/>
        <v/>
      </c>
    </row>
    <row r="389" ht="15.75" customHeight="1">
      <c r="E389" s="12" t="str">
        <f t="shared" si="2"/>
        <v/>
      </c>
    </row>
    <row r="390" ht="15.75" customHeight="1">
      <c r="E390" s="12" t="str">
        <f t="shared" si="2"/>
        <v/>
      </c>
    </row>
    <row r="391" ht="15.75" customHeight="1">
      <c r="E391" s="12" t="str">
        <f t="shared" si="2"/>
        <v/>
      </c>
    </row>
    <row r="392" ht="15.75" customHeight="1">
      <c r="E392" s="12" t="str">
        <f t="shared" si="2"/>
        <v/>
      </c>
    </row>
    <row r="393" ht="15.75" customHeight="1">
      <c r="E393" s="12" t="str">
        <f t="shared" si="2"/>
        <v/>
      </c>
    </row>
    <row r="394" ht="15.75" customHeight="1">
      <c r="E394" s="12" t="str">
        <f t="shared" si="2"/>
        <v/>
      </c>
    </row>
    <row r="395" ht="15.75" customHeight="1">
      <c r="E395" s="12" t="str">
        <f t="shared" si="2"/>
        <v/>
      </c>
    </row>
    <row r="396" ht="15.75" customHeight="1">
      <c r="E396" s="12" t="str">
        <f t="shared" si="2"/>
        <v/>
      </c>
    </row>
    <row r="397" ht="15.75" customHeight="1">
      <c r="E397" s="12" t="str">
        <f t="shared" si="2"/>
        <v/>
      </c>
    </row>
    <row r="398" ht="15.75" customHeight="1">
      <c r="E398" s="12" t="str">
        <f t="shared" si="2"/>
        <v/>
      </c>
    </row>
    <row r="399" ht="15.75" customHeight="1">
      <c r="E399" s="12" t="str">
        <f t="shared" si="2"/>
        <v/>
      </c>
    </row>
    <row r="400" ht="15.75" customHeight="1">
      <c r="E400" s="12" t="str">
        <f t="shared" si="2"/>
        <v/>
      </c>
    </row>
    <row r="401" ht="15.75" customHeight="1">
      <c r="E401" s="12" t="str">
        <f t="shared" si="2"/>
        <v/>
      </c>
    </row>
    <row r="402" ht="15.75" customHeight="1">
      <c r="E402" s="12" t="str">
        <f t="shared" si="2"/>
        <v/>
      </c>
    </row>
    <row r="403" ht="15.75" customHeight="1">
      <c r="E403" s="12" t="str">
        <f t="shared" si="2"/>
        <v/>
      </c>
    </row>
    <row r="404" ht="15.75" customHeight="1">
      <c r="E404" s="12" t="str">
        <f t="shared" si="2"/>
        <v/>
      </c>
    </row>
    <row r="405" ht="15.75" customHeight="1">
      <c r="E405" s="12" t="str">
        <f t="shared" si="2"/>
        <v/>
      </c>
    </row>
    <row r="406" ht="15.75" customHeight="1">
      <c r="E406" s="12" t="str">
        <f t="shared" si="2"/>
        <v/>
      </c>
    </row>
    <row r="407" ht="15.75" customHeight="1">
      <c r="E407" s="12" t="str">
        <f t="shared" si="2"/>
        <v/>
      </c>
    </row>
    <row r="408" ht="15.75" customHeight="1">
      <c r="E408" s="12" t="str">
        <f t="shared" si="2"/>
        <v/>
      </c>
    </row>
    <row r="409" ht="15.75" customHeight="1">
      <c r="E409" s="12" t="str">
        <f t="shared" si="2"/>
        <v/>
      </c>
    </row>
    <row r="410" ht="15.75" customHeight="1">
      <c r="E410" s="12" t="str">
        <f t="shared" si="2"/>
        <v/>
      </c>
    </row>
    <row r="411" ht="15.75" customHeight="1">
      <c r="E411" s="12" t="str">
        <f t="shared" si="2"/>
        <v/>
      </c>
    </row>
    <row r="412" ht="15.75" customHeight="1">
      <c r="E412" s="12" t="str">
        <f t="shared" si="2"/>
        <v/>
      </c>
    </row>
    <row r="413" ht="15.75" customHeight="1">
      <c r="E413" s="12" t="str">
        <f t="shared" si="2"/>
        <v/>
      </c>
    </row>
    <row r="414" ht="15.75" customHeight="1">
      <c r="E414" s="12" t="str">
        <f t="shared" si="2"/>
        <v/>
      </c>
    </row>
    <row r="415" ht="15.75" customHeight="1">
      <c r="E415" s="12" t="str">
        <f t="shared" si="2"/>
        <v/>
      </c>
    </row>
    <row r="416" ht="15.75" customHeight="1">
      <c r="E416" s="12" t="str">
        <f t="shared" si="2"/>
        <v/>
      </c>
    </row>
    <row r="417" ht="15.75" customHeight="1">
      <c r="E417" s="12" t="str">
        <f t="shared" si="2"/>
        <v/>
      </c>
    </row>
    <row r="418" ht="15.75" customHeight="1">
      <c r="E418" s="12" t="str">
        <f t="shared" si="2"/>
        <v/>
      </c>
    </row>
    <row r="419" ht="15.75" customHeight="1">
      <c r="E419" s="12" t="str">
        <f t="shared" si="2"/>
        <v/>
      </c>
    </row>
    <row r="420" ht="15.75" customHeight="1">
      <c r="E420" s="12" t="str">
        <f t="shared" si="2"/>
        <v/>
      </c>
    </row>
    <row r="421" ht="15.75" customHeight="1">
      <c r="E421" s="12" t="str">
        <f t="shared" si="2"/>
        <v/>
      </c>
    </row>
    <row r="422" ht="15.75" customHeight="1">
      <c r="E422" s="12" t="str">
        <f t="shared" si="2"/>
        <v/>
      </c>
    </row>
    <row r="423" ht="15.75" customHeight="1">
      <c r="E423" s="12" t="str">
        <f t="shared" si="2"/>
        <v/>
      </c>
    </row>
    <row r="424" ht="15.75" customHeight="1">
      <c r="E424" s="12" t="str">
        <f t="shared" si="2"/>
        <v/>
      </c>
    </row>
    <row r="425" ht="15.75" customHeight="1">
      <c r="E425" s="12" t="str">
        <f t="shared" si="2"/>
        <v/>
      </c>
    </row>
    <row r="426" ht="15.75" customHeight="1">
      <c r="E426" s="12" t="str">
        <f t="shared" si="2"/>
        <v/>
      </c>
    </row>
    <row r="427" ht="15.75" customHeight="1">
      <c r="E427" s="12" t="str">
        <f t="shared" si="2"/>
        <v/>
      </c>
    </row>
    <row r="428" ht="15.75" customHeight="1">
      <c r="E428" s="12" t="str">
        <f t="shared" si="2"/>
        <v/>
      </c>
    </row>
    <row r="429" ht="15.75" customHeight="1">
      <c r="E429" s="12" t="str">
        <f t="shared" si="2"/>
        <v/>
      </c>
    </row>
    <row r="430" ht="15.75" customHeight="1">
      <c r="E430" s="12" t="str">
        <f t="shared" si="2"/>
        <v/>
      </c>
    </row>
    <row r="431" ht="15.75" customHeight="1">
      <c r="E431" s="12" t="str">
        <f t="shared" si="2"/>
        <v/>
      </c>
    </row>
    <row r="432" ht="15.75" customHeight="1">
      <c r="E432" s="12" t="str">
        <f t="shared" si="2"/>
        <v/>
      </c>
    </row>
    <row r="433" ht="15.75" customHeight="1">
      <c r="E433" s="12" t="str">
        <f t="shared" si="2"/>
        <v/>
      </c>
    </row>
    <row r="434" ht="15.75" customHeight="1">
      <c r="E434" s="12" t="str">
        <f t="shared" si="2"/>
        <v/>
      </c>
    </row>
    <row r="435" ht="15.75" customHeight="1">
      <c r="E435" s="12" t="str">
        <f t="shared" si="2"/>
        <v/>
      </c>
    </row>
    <row r="436" ht="15.75" customHeight="1">
      <c r="E436" s="12" t="str">
        <f t="shared" si="2"/>
        <v/>
      </c>
    </row>
    <row r="437" ht="15.75" customHeight="1">
      <c r="E437" s="12" t="str">
        <f t="shared" si="2"/>
        <v/>
      </c>
    </row>
    <row r="438" ht="15.75" customHeight="1">
      <c r="E438" s="12" t="str">
        <f t="shared" si="2"/>
        <v/>
      </c>
    </row>
    <row r="439" ht="15.75" customHeight="1">
      <c r="E439" s="12" t="str">
        <f t="shared" si="2"/>
        <v/>
      </c>
    </row>
    <row r="440" ht="15.75" customHeight="1">
      <c r="E440" s="12" t="str">
        <f t="shared" si="2"/>
        <v/>
      </c>
    </row>
    <row r="441" ht="15.75" customHeight="1">
      <c r="E441" s="12" t="str">
        <f t="shared" si="2"/>
        <v/>
      </c>
    </row>
    <row r="442" ht="15.75" customHeight="1">
      <c r="E442" s="12" t="str">
        <f t="shared" si="2"/>
        <v/>
      </c>
    </row>
    <row r="443" ht="15.75" customHeight="1">
      <c r="E443" s="12" t="str">
        <f t="shared" si="2"/>
        <v/>
      </c>
    </row>
    <row r="444" ht="15.75" customHeight="1">
      <c r="E444" s="12" t="str">
        <f t="shared" si="2"/>
        <v/>
      </c>
    </row>
    <row r="445" ht="15.75" customHeight="1">
      <c r="E445" s="12" t="str">
        <f t="shared" si="2"/>
        <v/>
      </c>
    </row>
    <row r="446" ht="15.75" customHeight="1">
      <c r="E446" s="12" t="str">
        <f t="shared" si="2"/>
        <v/>
      </c>
    </row>
    <row r="447" ht="15.75" customHeight="1">
      <c r="E447" s="12" t="str">
        <f t="shared" si="2"/>
        <v/>
      </c>
    </row>
    <row r="448" ht="15.75" customHeight="1">
      <c r="E448" s="12" t="str">
        <f t="shared" si="2"/>
        <v/>
      </c>
    </row>
    <row r="449" ht="15.75" customHeight="1">
      <c r="E449" s="12" t="str">
        <f t="shared" si="2"/>
        <v/>
      </c>
    </row>
    <row r="450" ht="15.75" customHeight="1">
      <c r="E450" s="12" t="str">
        <f t="shared" si="2"/>
        <v/>
      </c>
    </row>
    <row r="451" ht="15.75" customHeight="1">
      <c r="E451" s="12" t="str">
        <f t="shared" si="2"/>
        <v/>
      </c>
    </row>
    <row r="452" ht="15.75" customHeight="1">
      <c r="E452" s="12" t="str">
        <f t="shared" si="2"/>
        <v/>
      </c>
    </row>
    <row r="453" ht="15.75" customHeight="1">
      <c r="E453" s="12" t="str">
        <f t="shared" si="2"/>
        <v/>
      </c>
    </row>
    <row r="454" ht="15.75" customHeight="1">
      <c r="E454" s="12" t="str">
        <f t="shared" si="2"/>
        <v/>
      </c>
    </row>
    <row r="455" ht="15.75" customHeight="1">
      <c r="E455" s="12" t="str">
        <f t="shared" si="2"/>
        <v/>
      </c>
    </row>
    <row r="456" ht="15.75" customHeight="1">
      <c r="E456" s="12" t="str">
        <f t="shared" si="2"/>
        <v/>
      </c>
    </row>
    <row r="457" ht="15.75" customHeight="1">
      <c r="E457" s="12" t="str">
        <f t="shared" si="2"/>
        <v/>
      </c>
    </row>
    <row r="458" ht="15.75" customHeight="1">
      <c r="E458" s="12" t="str">
        <f t="shared" si="2"/>
        <v/>
      </c>
    </row>
    <row r="459" ht="15.75" customHeight="1">
      <c r="E459" s="12" t="str">
        <f t="shared" si="2"/>
        <v/>
      </c>
    </row>
    <row r="460" ht="15.75" customHeight="1">
      <c r="E460" s="12" t="str">
        <f t="shared" si="2"/>
        <v/>
      </c>
    </row>
    <row r="461" ht="15.75" customHeight="1">
      <c r="E461" s="12" t="str">
        <f t="shared" si="2"/>
        <v/>
      </c>
    </row>
    <row r="462" ht="15.75" customHeight="1">
      <c r="E462" s="12" t="str">
        <f t="shared" si="2"/>
        <v/>
      </c>
    </row>
    <row r="463" ht="15.75" customHeight="1">
      <c r="E463" s="12" t="str">
        <f t="shared" si="2"/>
        <v/>
      </c>
    </row>
    <row r="464" ht="15.75" customHeight="1">
      <c r="E464" s="12" t="str">
        <f t="shared" si="2"/>
        <v/>
      </c>
    </row>
    <row r="465" ht="15.75" customHeight="1">
      <c r="E465" s="12" t="str">
        <f t="shared" si="2"/>
        <v/>
      </c>
    </row>
    <row r="466" ht="15.75" customHeight="1">
      <c r="E466" s="12" t="str">
        <f t="shared" si="2"/>
        <v/>
      </c>
    </row>
    <row r="467" ht="15.75" customHeight="1">
      <c r="E467" s="12" t="str">
        <f t="shared" si="2"/>
        <v/>
      </c>
    </row>
    <row r="468" ht="15.75" customHeight="1">
      <c r="E468" s="12" t="str">
        <f t="shared" si="2"/>
        <v/>
      </c>
    </row>
    <row r="469" ht="15.75" customHeight="1">
      <c r="E469" s="12" t="str">
        <f t="shared" si="2"/>
        <v/>
      </c>
    </row>
    <row r="470" ht="15.75" customHeight="1">
      <c r="E470" s="12" t="str">
        <f t="shared" si="2"/>
        <v/>
      </c>
    </row>
    <row r="471" ht="15.75" customHeight="1">
      <c r="E471" s="12" t="str">
        <f t="shared" si="2"/>
        <v/>
      </c>
    </row>
    <row r="472" ht="15.75" customHeight="1">
      <c r="E472" s="12" t="str">
        <f t="shared" si="2"/>
        <v/>
      </c>
    </row>
    <row r="473" ht="15.75" customHeight="1">
      <c r="E473" s="12" t="str">
        <f t="shared" si="2"/>
        <v/>
      </c>
    </row>
    <row r="474" ht="15.75" customHeight="1">
      <c r="E474" s="12" t="str">
        <f t="shared" si="2"/>
        <v/>
      </c>
    </row>
    <row r="475" ht="15.75" customHeight="1">
      <c r="E475" s="12" t="str">
        <f t="shared" si="2"/>
        <v/>
      </c>
    </row>
    <row r="476" ht="15.75" customHeight="1">
      <c r="E476" s="12" t="str">
        <f t="shared" si="2"/>
        <v/>
      </c>
    </row>
    <row r="477" ht="15.75" customHeight="1">
      <c r="E477" s="12" t="str">
        <f t="shared" si="2"/>
        <v/>
      </c>
    </row>
    <row r="478" ht="15.75" customHeight="1">
      <c r="E478" s="12" t="str">
        <f t="shared" si="2"/>
        <v/>
      </c>
    </row>
    <row r="479" ht="15.75" customHeight="1">
      <c r="E479" s="12" t="str">
        <f t="shared" si="2"/>
        <v/>
      </c>
    </row>
    <row r="480" ht="15.75" customHeight="1">
      <c r="E480" s="12" t="str">
        <f t="shared" si="2"/>
        <v/>
      </c>
    </row>
    <row r="481" ht="15.75" customHeight="1">
      <c r="E481" s="12" t="str">
        <f t="shared" si="2"/>
        <v/>
      </c>
    </row>
    <row r="482" ht="15.75" customHeight="1">
      <c r="E482" s="12" t="str">
        <f t="shared" si="2"/>
        <v/>
      </c>
    </row>
    <row r="483" ht="15.75" customHeight="1">
      <c r="E483" s="12" t="str">
        <f t="shared" si="2"/>
        <v/>
      </c>
    </row>
    <row r="484" ht="15.75" customHeight="1">
      <c r="E484" s="12" t="str">
        <f t="shared" si="2"/>
        <v/>
      </c>
    </row>
    <row r="485" ht="15.75" customHeight="1">
      <c r="E485" s="12" t="str">
        <f t="shared" si="2"/>
        <v/>
      </c>
    </row>
    <row r="486" ht="15.75" customHeight="1">
      <c r="E486" s="12" t="str">
        <f t="shared" si="2"/>
        <v/>
      </c>
    </row>
    <row r="487" ht="15.75" customHeight="1">
      <c r="E487" s="12" t="str">
        <f t="shared" si="2"/>
        <v/>
      </c>
    </row>
    <row r="488" ht="15.75" customHeight="1">
      <c r="E488" s="12" t="str">
        <f t="shared" si="2"/>
        <v/>
      </c>
    </row>
    <row r="489" ht="15.75" customHeight="1">
      <c r="E489" s="12" t="str">
        <f t="shared" si="2"/>
        <v/>
      </c>
    </row>
    <row r="490" ht="15.75" customHeight="1">
      <c r="E490" s="12" t="str">
        <f t="shared" si="2"/>
        <v/>
      </c>
    </row>
    <row r="491" ht="15.75" customHeight="1">
      <c r="E491" s="12" t="str">
        <f t="shared" si="2"/>
        <v/>
      </c>
    </row>
    <row r="492" ht="15.75" customHeight="1">
      <c r="E492" s="12" t="str">
        <f t="shared" si="2"/>
        <v/>
      </c>
    </row>
    <row r="493" ht="15.75" customHeight="1">
      <c r="E493" s="12" t="str">
        <f t="shared" si="2"/>
        <v/>
      </c>
    </row>
    <row r="494" ht="15.75" customHeight="1">
      <c r="E494" s="12" t="str">
        <f t="shared" si="2"/>
        <v/>
      </c>
    </row>
    <row r="495" ht="15.75" customHeight="1">
      <c r="E495" s="12" t="str">
        <f t="shared" si="2"/>
        <v/>
      </c>
    </row>
    <row r="496" ht="15.75" customHeight="1">
      <c r="E496" s="12" t="str">
        <f t="shared" si="2"/>
        <v/>
      </c>
    </row>
    <row r="497" ht="15.75" customHeight="1">
      <c r="E497" s="12" t="str">
        <f t="shared" si="2"/>
        <v/>
      </c>
    </row>
    <row r="498" ht="15.75" customHeight="1">
      <c r="E498" s="12" t="str">
        <f t="shared" si="2"/>
        <v/>
      </c>
    </row>
    <row r="499" ht="15.75" customHeight="1">
      <c r="E499" s="12" t="str">
        <f t="shared" si="2"/>
        <v/>
      </c>
    </row>
    <row r="500" ht="15.75" customHeight="1">
      <c r="E500" s="12" t="str">
        <f t="shared" si="2"/>
        <v/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5" t="s">
        <v>147</v>
      </c>
    </row>
    <row r="3">
      <c r="A3" s="16" t="s">
        <v>148</v>
      </c>
    </row>
    <row r="4">
      <c r="A4" s="12" t="s">
        <v>149</v>
      </c>
    </row>
    <row r="6">
      <c r="A6" s="16" t="s">
        <v>150</v>
      </c>
    </row>
    <row r="7">
      <c r="A7" s="12" t="s">
        <v>151</v>
      </c>
    </row>
    <row r="8">
      <c r="A8" s="12" t="s">
        <v>152</v>
      </c>
    </row>
    <row r="10">
      <c r="A10" s="16" t="s">
        <v>153</v>
      </c>
    </row>
    <row r="11">
      <c r="A11" s="12" t="s">
        <v>154</v>
      </c>
    </row>
    <row r="12">
      <c r="A12" s="12" t="s">
        <v>155</v>
      </c>
    </row>
    <row r="14">
      <c r="A14" s="16" t="s">
        <v>156</v>
      </c>
    </row>
    <row r="15">
      <c r="A15" s="12" t="s">
        <v>157</v>
      </c>
    </row>
    <row r="17">
      <c r="A17" s="16" t="s">
        <v>158</v>
      </c>
    </row>
    <row r="18">
      <c r="A18" s="12" t="s">
        <v>159</v>
      </c>
    </row>
    <row r="20">
      <c r="A20" s="16" t="s">
        <v>160</v>
      </c>
    </row>
    <row r="21" ht="15.75" customHeight="1">
      <c r="A21" s="12" t="s">
        <v>161</v>
      </c>
    </row>
    <row r="22" ht="15.75" customHeight="1"/>
    <row r="23" ht="15.75" customHeight="1">
      <c r="A23" s="16" t="s">
        <v>162</v>
      </c>
    </row>
    <row r="24" ht="15.75" customHeight="1">
      <c r="A24" s="12" t="s">
        <v>163</v>
      </c>
    </row>
    <row r="25" ht="15.75" customHeight="1"/>
    <row r="26" ht="15.75" customHeight="1">
      <c r="A26" s="16" t="s">
        <v>164</v>
      </c>
    </row>
    <row r="27" ht="15.75" customHeight="1">
      <c r="A27" s="12" t="s">
        <v>165</v>
      </c>
    </row>
    <row r="28" ht="15.75" customHeight="1">
      <c r="A28" s="12" t="s">
        <v>166</v>
      </c>
    </row>
    <row r="29" ht="15.75" customHeight="1">
      <c r="A29" s="12" t="s">
        <v>167</v>
      </c>
    </row>
    <row r="30" ht="15.75" customHeight="1">
      <c r="A30" s="12" t="s">
        <v>168</v>
      </c>
    </row>
    <row r="31" ht="15.75" customHeight="1">
      <c r="A31" s="12" t="s">
        <v>169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