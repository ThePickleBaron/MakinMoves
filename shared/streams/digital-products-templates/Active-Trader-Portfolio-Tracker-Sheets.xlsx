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fig" sheetId="2" state="hidden" r:id="rId4"/>
    <sheet name="Positions" sheetId="3" state="visible" r:id="rId5"/>
    <sheet name="Realized Trades" sheetId="4" state="visible" r:id="rId6"/>
    <sheet name="Watchlist" sheetId="5" state="visible" r:id="rId7"/>
    <sheet name="Trade Journal" sheetId="6" state="visible" r:id="rId8"/>
    <sheet name="Dividend Tracker" sheetId="7" state="visible" r:id="rId9"/>
    <sheet name="How To Use" sheetId="8" state="visible" r:id="rId10"/>
  </sheets>
  <definedNames>
    <definedName function="false" hidden="true" localSheetId="2" name="_xlnm._FilterDatabase" vbProcedure="false">Positions!$A$1:$T$100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<sst xmlns="http://schemas.openxmlformats.org/spreadsheetml/2006/main" count="293" uniqueCount="207">
  <si>
    <t xml:space="preserve">ACTIVE TRADER PORTFOLIO TRACKER</t>
  </si>
  <si>
    <t xml:space="preserve">ACCOUNT SUMMARIES</t>
  </si>
  <si>
    <t xml:space="preserve">Account</t>
  </si>
  <si>
    <t xml:space="preserve">Market Value</t>
  </si>
  <si>
    <t xml:space="preserve">Cost Basis</t>
  </si>
  <si>
    <t xml:space="preserve">Gain/Loss $</t>
  </si>
  <si>
    <t xml:space="preserve">Gain/Loss %</t>
  </si>
  <si>
    <t xml:space="preserve"># Positions</t>
  </si>
  <si>
    <t xml:space="preserve">Individual</t>
  </si>
  <si>
    <t xml:space="preserve">Rollover IRA</t>
  </si>
  <si>
    <t xml:space="preserve">Roth IRA</t>
  </si>
  <si>
    <t xml:space="preserve">ALL ACCOUNTS</t>
  </si>
  <si>
    <t xml:space="preserve">SECTOR ALLOCATION</t>
  </si>
  <si>
    <t xml:space="preserve">Sector</t>
  </si>
  <si>
    <t xml:space="preserve">% of Portfolio</t>
  </si>
  <si>
    <t xml:space="preserve">Energy</t>
  </si>
  <si>
    <t xml:space="preserve">Information Technology</t>
  </si>
  <si>
    <t xml:space="preserve">Materials</t>
  </si>
  <si>
    <t xml:space="preserve">Healthcare</t>
  </si>
  <si>
    <t xml:space="preserve">Industrials</t>
  </si>
  <si>
    <t xml:space="preserve">Financials</t>
  </si>
  <si>
    <t xml:space="preserve">Consumer Discretionary</t>
  </si>
  <si>
    <t xml:space="preserve">Consumer Staples</t>
  </si>
  <si>
    <t xml:space="preserve">Utilities</t>
  </si>
  <si>
    <t xml:space="preserve">Communication Services</t>
  </si>
  <si>
    <t xml:space="preserve">Real Estate</t>
  </si>
  <si>
    <t xml:space="preserve">MACRO INDICATORS</t>
  </si>
  <si>
    <t xml:space="preserve">Indicator</t>
  </si>
  <si>
    <t xml:space="preserve">Value</t>
  </si>
  <si>
    <t xml:space="preserve">Notes</t>
  </si>
  <si>
    <t xml:space="preserve">Gold (GLD)</t>
  </si>
  <si>
    <t xml:space="preserve">Auto-updates in Google Sheets</t>
  </si>
  <si>
    <t xml:space="preserve">S&amp;P 500 (SPY)</t>
  </si>
  <si>
    <t xml:space="preserve">Brent Crude</t>
  </si>
  <si>
    <t xml:space="preserve">Enter manually</t>
  </si>
  <si>
    <t xml:space="preserve">DXY</t>
  </si>
  <si>
    <t xml:space="preserve">10Y Yield</t>
  </si>
  <si>
    <t xml:space="preserve">VIX</t>
  </si>
  <si>
    <t xml:space="preserve">Accounts</t>
  </si>
  <si>
    <t xml:space="preserve">Sectors</t>
  </si>
  <si>
    <t xml:space="preserve">Asset Types</t>
  </si>
  <si>
    <t xml:space="preserve">Status</t>
  </si>
  <si>
    <t xml:space="preserve">Priority</t>
  </si>
  <si>
    <t xml:space="preserve">Market View</t>
  </si>
  <si>
    <t xml:space="preserve">Equity</t>
  </si>
  <si>
    <t xml:space="preserve">Active</t>
  </si>
  <si>
    <t xml:space="preserve">Hot</t>
  </si>
  <si>
    <t xml:space="preserve">Bullish</t>
  </si>
  <si>
    <t xml:space="preserve">ETF</t>
  </si>
  <si>
    <t xml:space="preserve">Watching</t>
  </si>
  <si>
    <t xml:space="preserve">Warm</t>
  </si>
  <si>
    <t xml:space="preserve">Bearish</t>
  </si>
  <si>
    <t xml:space="preserve">Option</t>
  </si>
  <si>
    <t xml:space="preserve">Exited</t>
  </si>
  <si>
    <t xml:space="preserve">Cold</t>
  </si>
  <si>
    <t xml:space="preserve">Neutral</t>
  </si>
  <si>
    <t xml:space="preserve">Other</t>
  </si>
  <si>
    <t xml:space="preserve">Bond</t>
  </si>
  <si>
    <t xml:space="preserve">Stopped Out</t>
  </si>
  <si>
    <t xml:space="preserve">Cautious</t>
  </si>
  <si>
    <t xml:space="preserve">Crypto</t>
  </si>
  <si>
    <t xml:space="preserve">Cash</t>
  </si>
  <si>
    <t xml:space="preserve">Symbol</t>
  </si>
  <si>
    <t xml:space="preserve">Description</t>
  </si>
  <si>
    <t xml:space="preserve">Asset Type</t>
  </si>
  <si>
    <t xml:space="preserve">Quantity</t>
  </si>
  <si>
    <t xml:space="preserve">Avg Cost/Share</t>
  </si>
  <si>
    <t xml:space="preserve">Current Price</t>
  </si>
  <si>
    <t xml:space="preserve">Div Yield</t>
  </si>
  <si>
    <t xml:space="preserve">Div Pay Date</t>
  </si>
  <si>
    <t xml:space="preserve">Exit Target</t>
  </si>
  <si>
    <t xml:space="preserve">Stop Loss</t>
  </si>
  <si>
    <t xml:space="preserve">Tags</t>
  </si>
  <si>
    <t xml:space="preserve">Thesis</t>
  </si>
  <si>
    <t xml:space="preserve">AAPL</t>
  </si>
  <si>
    <t xml:space="preserve">Apple Inc</t>
  </si>
  <si>
    <t xml:space="preserve">Momentum, Long Term</t>
  </si>
  <si>
    <t xml:space="preserve">Core tech holding. Strong services revenue growth.</t>
  </si>
  <si>
    <t xml:space="preserve">XOM</t>
  </si>
  <si>
    <t xml:space="preserve">Exxon Mobil Corp</t>
  </si>
  <si>
    <t xml:space="preserve">Dividend, Value</t>
  </si>
  <si>
    <t xml:space="preserve">Energy supercycle play. Domestic production hedge.</t>
  </si>
  <si>
    <t xml:space="preserve">GLD</t>
  </si>
  <si>
    <t xml:space="preserve">SPDR Gold Shares</t>
  </si>
  <si>
    <t xml:space="preserve">Hedge</t>
  </si>
  <si>
    <t xml:space="preserve">Gold vault position. Capital preservation.</t>
  </si>
  <si>
    <t xml:space="preserve">INTC</t>
  </si>
  <si>
    <t xml:space="preserve">Intel Corp</t>
  </si>
  <si>
    <t xml:space="preserve">Value, Speculative</t>
  </si>
  <si>
    <t xml:space="preserve">Turnaround bet on foundry business.</t>
  </si>
  <si>
    <t xml:space="preserve">NTR</t>
  </si>
  <si>
    <t xml:space="preserve">Nutrien Ltd</t>
  </si>
  <si>
    <t xml:space="preserve">Value, Dividend</t>
  </si>
  <si>
    <t xml:space="preserve">World's largest potash producer. Fertilizer basket anchor.</t>
  </si>
  <si>
    <t xml:space="preserve">REALIZED TRADES SUMMARY</t>
  </si>
  <si>
    <t xml:space="preserve">Total Realized G/L</t>
  </si>
  <si>
    <t xml:space="preserve">Short-Term G/L</t>
  </si>
  <si>
    <t xml:space="preserve">Long-Term G/L</t>
  </si>
  <si>
    <t xml:space="preserve">Wash Sales</t>
  </si>
  <si>
    <t xml:space="preserve">Open Date</t>
  </si>
  <si>
    <t xml:space="preserve">Close Date</t>
  </si>
  <si>
    <t xml:space="preserve">Proceeds/Share</t>
  </si>
  <si>
    <t xml:space="preserve">Cost/Share</t>
  </si>
  <si>
    <t xml:space="preserve">Proceeds</t>
  </si>
  <si>
    <t xml:space="preserve">Term</t>
  </si>
  <si>
    <t xml:space="preserve">Wash Sale?</t>
  </si>
  <si>
    <t xml:space="preserve">Disallowed Loss</t>
  </si>
  <si>
    <t xml:space="preserve">TSLA</t>
  </si>
  <si>
    <t xml:space="preserve">Tesla Inc</t>
  </si>
  <si>
    <t xml:space="preserve">2025-11-15</t>
  </si>
  <si>
    <t xml:space="preserve">2026-01-20</t>
  </si>
  <si>
    <t xml:space="preserve">AMD</t>
  </si>
  <si>
    <t xml:space="preserve">Advanced Micro Devices</t>
  </si>
  <si>
    <t xml:space="preserve">2025-09-01</t>
  </si>
  <si>
    <t xml:space="preserve">2026-02-10</t>
  </si>
  <si>
    <t xml:space="preserve">PLTR</t>
  </si>
  <si>
    <t xml:space="preserve">Palantir Technologies</t>
  </si>
  <si>
    <t xml:space="preserve">2025-06-15</t>
  </si>
  <si>
    <t xml:space="preserve">2026-03-01</t>
  </si>
  <si>
    <t xml:space="preserve">Target Entry</t>
  </si>
  <si>
    <t xml:space="preserve">Gap to Entry</t>
  </si>
  <si>
    <t xml:space="preserve">Catalyst</t>
  </si>
  <si>
    <t xml:space="preserve">Added Date</t>
  </si>
  <si>
    <t xml:space="preserve">FSLR</t>
  </si>
  <si>
    <t xml:space="preserve">First Solar Inc</t>
  </si>
  <si>
    <t xml:space="preserve">Solar pure-play with US manufacturing advantage</t>
  </si>
  <si>
    <t xml:space="preserve">Tariff policy catalyst</t>
  </si>
  <si>
    <t xml:space="preserve">2026-03-15</t>
  </si>
  <si>
    <t xml:space="preserve">CRWD</t>
  </si>
  <si>
    <t xml:space="preserve">CrowdStrike Holdings</t>
  </si>
  <si>
    <t xml:space="preserve">Best-in-class endpoint security, post-outage recovery</t>
  </si>
  <si>
    <t xml:space="preserve">Q1 earnings beat</t>
  </si>
  <si>
    <t xml:space="preserve">2026-03-20</t>
  </si>
  <si>
    <t xml:space="preserve">LNG</t>
  </si>
  <si>
    <t xml:space="preserve">Cheniere Energy</t>
  </si>
  <si>
    <t xml:space="preserve">LNG export leader, EU demand structural</t>
  </si>
  <si>
    <t xml:space="preserve">New export terminal approval</t>
  </si>
  <si>
    <t xml:space="preserve">2026-03-25</t>
  </si>
  <si>
    <t xml:space="preserve">UBER</t>
  </si>
  <si>
    <t xml:space="preserve">Uber Technologies</t>
  </si>
  <si>
    <t xml:space="preserve">Autonomous vehicle optionality + profitable ride-share</t>
  </si>
  <si>
    <t xml:space="preserve">Waymo partnership expansion</t>
  </si>
  <si>
    <t xml:space="preserve">2026-04-01</t>
  </si>
  <si>
    <t xml:space="preserve">Date</t>
  </si>
  <si>
    <t xml:space="preserve">Symbols Involved</t>
  </si>
  <si>
    <t xml:space="preserve">Decision</t>
  </si>
  <si>
    <t xml:space="preserve">Outcome</t>
  </si>
  <si>
    <t xml:space="preserve">Lesson</t>
  </si>
  <si>
    <t xml:space="preserve">XOM, NTR</t>
  </si>
  <si>
    <t xml:space="preserve">Added to energy positions on pullback. Brent holding above $75.</t>
  </si>
  <si>
    <t xml:space="preserve">XOM up 3% in first week</t>
  </si>
  <si>
    <t xml:space="preserve">Sector rotation into energy confirmed by volume</t>
  </si>
  <si>
    <t xml:space="preserve">2026-03-22</t>
  </si>
  <si>
    <t xml:space="preserve">Held INTC despite earnings miss. Thesis unchanged — foundry story is multi-year.</t>
  </si>
  <si>
    <t xml:space="preserve">Stock flat, waiting</t>
  </si>
  <si>
    <t xml:space="preserve">Patience on turnaround plays. Don't panic sell on noise.</t>
  </si>
  <si>
    <t xml:space="preserve">AAPL, GLD</t>
  </si>
  <si>
    <t xml:space="preserve">Trimming nothing. Market indecisive. Gold acting as intended hedge.</t>
  </si>
  <si>
    <t xml:space="preserve">Pending</t>
  </si>
  <si>
    <t xml:space="preserve">When uncertain, do nothing. Cash is a position.</t>
  </si>
  <si>
    <t xml:space="preserve">DIVIDEND INCOME SUMMARY</t>
  </si>
  <si>
    <t xml:space="preserve">YTD Total</t>
  </si>
  <si>
    <t xml:space="preserve">Pay Date</t>
  </si>
  <si>
    <t xml:space="preserve">Amount/Share</t>
  </si>
  <si>
    <t xml:space="preserve">Shares Held</t>
  </si>
  <si>
    <t xml:space="preserve">Total Payment</t>
  </si>
  <si>
    <t xml:space="preserve">Reinvested?</t>
  </si>
  <si>
    <t xml:space="preserve">2026-03-10</t>
  </si>
  <si>
    <t xml:space="preserve">2026-01-15</t>
  </si>
  <si>
    <t xml:space="preserve">2025-12-10</t>
  </si>
  <si>
    <t xml:space="preserve">HOW TO USE THIS TRACKER</t>
  </si>
  <si>
    <t xml:space="preserve">STEP 1: GETTING STARTED</t>
  </si>
  <si>
    <t xml:space="preserve">After purchasing, open this file in Google Sheets (File &gt; Open with &gt; Google Sheets).</t>
  </si>
  <si>
    <t xml:space="preserve">Then go to File &gt; Make a Copy to save it to your Google Drive.</t>
  </si>
  <si>
    <t xml:space="preserve">Delete all sample data and start entering your own positions.</t>
  </si>
  <si>
    <t xml:space="preserve">STEP 2: HOW GOOGLEFINANCE AUTO-PRICING WORKS</t>
  </si>
  <si>
    <t xml:space="preserve">Column H (Current Price) in Positions and Column D in Watchlist use =GOOGLEFINANCE().</t>
  </si>
  <si>
    <t xml:space="preserve">This pulls delayed prices (~20 min) for FREE. No API keys, no subscriptions.</t>
  </si>
  <si>
    <t xml:space="preserve">Limitations: No extended hours, no crypto on all symbols, ~20 min delay.</t>
  </si>
  <si>
    <t xml:space="preserve">These formulas ONLY work in Google Sheets — not in Excel or LibreOffice.</t>
  </si>
  <si>
    <t xml:space="preserve">STEP 3: ADDING POSITIONS</t>
  </si>
  <si>
    <t xml:space="preserve">Go to the Positions tab. Enter Symbol, Description, Account, Sector, and Asset Type.</t>
  </si>
  <si>
    <t xml:space="preserve">Enter Quantity and Avg Cost/Share. Everything else calculates automatically.</t>
  </si>
  <si>
    <t xml:space="preserve">Use the dropdown menus for Account, Sector, Asset Type, and Status columns.</t>
  </si>
  <si>
    <t xml:space="preserve">To customize dropdowns, unhide the Config tab (right-click any tab &gt; Unhide).</t>
  </si>
  <si>
    <t xml:space="preserve">STEP 4: LOGGING REALIZED TRADES</t>
  </si>
  <si>
    <t xml:space="preserve">When you close a position, add it to Realized Trades with open/close dates.</t>
  </si>
  <si>
    <t xml:space="preserve">The Term column auto-classifies Short Term vs Long Term based on holding period.</t>
  </si>
  <si>
    <t xml:space="preserve">Mark wash sales manually if you re-enter within 30 days.</t>
  </si>
  <si>
    <t xml:space="preserve">STEP 5: USING THE WATCHLIST</t>
  </si>
  <si>
    <t xml:space="preserve">Add tickers you're watching with a target entry price.</t>
  </si>
  <si>
    <t xml:space="preserve">Gap to Entry auto-calculates how far the current price is from your target.</t>
  </si>
  <si>
    <t xml:space="preserve">Green = near entry (&lt;5% gap). Red = far from entry (&gt;20% gap).</t>
  </si>
  <si>
    <t xml:space="preserve">STEP 6: TRADE JOURNAL</t>
  </si>
  <si>
    <t xml:space="preserve">Log your market outlook, decisions, and lessons after each trading session.</t>
  </si>
  <si>
    <t xml:space="preserve">The best traders review their journal weekly. Patterns emerge over time.</t>
  </si>
  <si>
    <t xml:space="preserve">STEP 7: DIVIDEND TRACKER</t>
  </si>
  <si>
    <t xml:space="preserve">Log each dividend payment as it hits. YTD total auto-calculates at the top.</t>
  </si>
  <si>
    <t xml:space="preserve">Note: dividend data must be entered manually — GOOGLEFINANCE does not reliably provide dividend amounts.</t>
  </si>
  <si>
    <t xml:space="preserve">TIPS</t>
  </si>
  <si>
    <t xml:space="preserve">• Update positions at market close for the most accurate snapshot.</t>
  </si>
  <si>
    <t xml:space="preserve">• Use the Dashboard tab as your daily check-in — it pulls from Positions automatically.</t>
  </si>
  <si>
    <t xml:space="preserve">• Freeze panes are already set — scroll without losing headers.</t>
  </si>
  <si>
    <t xml:space="preserve">• All filters are enabled on Positions — sort and filter by any column.</t>
  </si>
  <si>
    <t xml:space="preserve">ALSO AVAILABLE</t>
  </si>
  <si>
    <t xml:space="preserve">Notion Portfolio Tracker ($9) — richer thesis notes, multiple database views, board layout.</t>
  </si>
  <si>
    <t xml:space="preserve">Visit: outdoorphunk.gumroad.com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</si>
</sst>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899BB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10"/>
      <color rgb="FFCC0000"/>
      <name val="Arial"/>
      <family val="0"/>
      <charset val="1"/>
    </font>
    <font>
      <u val="single"/>
      <sz val="10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D4A7A"/>
        <bgColor rgb="FF333333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D4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6FC"/>
      <rgbColor rgb="FFCCFFFF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8899BB"/>
      <rgbColor rgb="FF1B2A4A"/>
      <rgbColor rgb="FF339966"/>
      <rgbColor rgb="FF003300"/>
      <rgbColor rgb="FF333300"/>
      <rgbColor rgb="FF993300"/>
      <rgbColor rgb="FF993366"/>
      <rgbColor rgb="FF2D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tr">
        <f aca="true">TEXT(NOW(),"Last updated: mmm d, yyyy  h:mm AM/PM")</f>
        <v>La3t up15at78615: Nissan 15, 2026  4:39 PM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  <c r="B6" s="6" t="e">
        <f aca="false">SUMPRODUCT((Positions!C2:C100=A6)*(Positions!I2:I100))</f>
        <v>#NAME?</v>
      </c>
      <c r="C6" s="6" t="e">
        <f aca="false">SUMPRODUCT((Positions!C2:C100=A6)*(Positions!J2:J100))</f>
        <v>#VALUE!</v>
      </c>
      <c r="D6" s="6" t="e">
        <f aca="false">B6-C6</f>
        <v>#VALUE!</v>
      </c>
      <c r="E6" s="7" t="e">
        <f aca="false">IF(C6&lt;&gt;0,D6/C6,0)</f>
        <v>#VALUE!</v>
      </c>
      <c r="F6" s="8" t="n">
        <f aca="false">COUNTIF(Positions!C2:C100,A6)</f>
        <v>3</v>
      </c>
    </row>
    <row r="7" customFormat="false" ht="15" hidden="false" customHeight="false" outlineLevel="0" collapsed="false">
      <c r="A7" s="5" t="s">
        <v>9</v>
      </c>
      <c r="B7" s="6" t="e">
        <f aca="false">SUMPRODUCT((Positions!C2:C100=A7)*(Positions!I2:I100))</f>
        <v>#NAME?</v>
      </c>
      <c r="C7" s="6" t="e">
        <f aca="false">SUMPRODUCT((Positions!C2:C100=A7)*(Positions!J2:J100))</f>
        <v>#VALUE!</v>
      </c>
      <c r="D7" s="6" t="e">
        <f aca="false">B7-C7</f>
        <v>#VALUE!</v>
      </c>
      <c r="E7" s="7" t="e">
        <f aca="false">IF(C7&lt;&gt;0,D7/C7,0)</f>
        <v>#VALUE!</v>
      </c>
      <c r="F7" s="8" t="n">
        <f aca="false">COUNTIF(Positions!C2:C100,A7)</f>
        <v>2</v>
      </c>
    </row>
    <row r="8" customFormat="false" ht="15" hidden="false" customHeight="false" outlineLevel="0" collapsed="false">
      <c r="A8" s="5" t="s">
        <v>10</v>
      </c>
      <c r="B8" s="6" t="e">
        <f aca="false">SUMPRODUCT((Positions!C2:C100=A8)*(Positions!I2:I100))</f>
        <v>#NAME?</v>
      </c>
      <c r="C8" s="6" t="e">
        <f aca="false">SUMPRODUCT((Positions!C2:C100=A8)*(Positions!J2:J100))</f>
        <v>#VALUE!</v>
      </c>
      <c r="D8" s="6" t="e">
        <f aca="false">B8-C8</f>
        <v>#VALUE!</v>
      </c>
      <c r="E8" s="7" t="e">
        <f aca="false">IF(C8&lt;&gt;0,D8/C8,0)</f>
        <v>#VALUE!</v>
      </c>
      <c r="F8" s="8" t="n">
        <f aca="false">COUNTIF(Positions!C2:C100,A8)</f>
        <v>0</v>
      </c>
    </row>
    <row r="9" customFormat="false" ht="15" hidden="false" customHeight="false" outlineLevel="0" collapsed="false">
      <c r="A9" s="9" t="s">
        <v>11</v>
      </c>
      <c r="B9" s="10" t="e">
        <f aca="false">SUM(B6:B8)</f>
        <v>#NAME?</v>
      </c>
      <c r="C9" s="10" t="e">
        <f aca="false">SUM(C6:C8)</f>
        <v>#VALUE!</v>
      </c>
      <c r="D9" s="10" t="e">
        <f aca="false">B9-C9</f>
        <v>#VALUE!</v>
      </c>
      <c r="E9" s="11" t="e">
        <f aca="false">IF(C9&lt;&gt;0,D9/C9,0)</f>
        <v>#VALUE!</v>
      </c>
      <c r="F9" s="12" t="n">
        <f aca="false">SUM(F6:F8)</f>
        <v>5</v>
      </c>
    </row>
    <row r="11" customFormat="false" ht="15" hidden="false" customHeight="false" outlineLevel="0" collapsed="false">
      <c r="A11" s="3" t="s">
        <v>12</v>
      </c>
    </row>
    <row r="12" customFormat="false" ht="15" hidden="false" customHeight="false" outlineLevel="0" collapsed="false">
      <c r="A12" s="4" t="s">
        <v>13</v>
      </c>
      <c r="B12" s="4" t="s">
        <v>3</v>
      </c>
      <c r="C12" s="4" t="s">
        <v>14</v>
      </c>
    </row>
    <row r="13" customFormat="false" ht="15" hidden="false" customHeight="false" outlineLevel="0" collapsed="false">
      <c r="A13" s="13" t="s">
        <v>15</v>
      </c>
      <c r="B13" s="14" t="e">
        <f aca="false">SUMPRODUCT((Positions!D2:D100=A13)*(Positions!I2:I100))</f>
        <v>#NAME?</v>
      </c>
      <c r="C13" s="15" t="e">
        <f aca="false">IF(B$9&lt;&gt;0,B13/B$9,0)</f>
        <v>#NAME?</v>
      </c>
    </row>
    <row r="14" customFormat="false" ht="15" hidden="false" customHeight="false" outlineLevel="0" collapsed="false">
      <c r="A14" s="13" t="s">
        <v>16</v>
      </c>
      <c r="B14" s="14" t="e">
        <f aca="false">SUMPRODUCT((Positions!D2:D100=A14)*(Positions!I2:I100))</f>
        <v>#NAME?</v>
      </c>
      <c r="C14" s="15" t="e">
        <f aca="false">IF(B$9&lt;&gt;0,B14/B$9,0)</f>
        <v>#NAME?</v>
      </c>
    </row>
    <row r="15" customFormat="false" ht="15" hidden="false" customHeight="false" outlineLevel="0" collapsed="false">
      <c r="A15" s="13" t="s">
        <v>17</v>
      </c>
      <c r="B15" s="14" t="e">
        <f aca="false">SUMPRODUCT((Positions!D2:D100=A15)*(Positions!I2:I100))</f>
        <v>#NAME?</v>
      </c>
      <c r="C15" s="15" t="e">
        <f aca="false">IF(B$9&lt;&gt;0,B15/B$9,0)</f>
        <v>#NAME?</v>
      </c>
    </row>
    <row r="16" customFormat="false" ht="15" hidden="false" customHeight="false" outlineLevel="0" collapsed="false">
      <c r="A16" s="13" t="s">
        <v>18</v>
      </c>
      <c r="B16" s="14" t="e">
        <f aca="false">SUMPRODUCT((Positions!D2:D100=A16)*(Positions!I2:I100))</f>
        <v>#NAME?</v>
      </c>
      <c r="C16" s="15" t="e">
        <f aca="false">IF(B$9&lt;&gt;0,B16/B$9,0)</f>
        <v>#NAME?</v>
      </c>
    </row>
    <row r="17" customFormat="false" ht="15" hidden="false" customHeight="false" outlineLevel="0" collapsed="false">
      <c r="A17" s="13" t="s">
        <v>19</v>
      </c>
      <c r="B17" s="14" t="e">
        <f aca="false">SUMPRODUCT((Positions!D2:D100=A17)*(Positions!I2:I100))</f>
        <v>#NAME?</v>
      </c>
      <c r="C17" s="15" t="e">
        <f aca="false">IF(B$9&lt;&gt;0,B17/B$9,0)</f>
        <v>#NAME?</v>
      </c>
    </row>
    <row r="18" customFormat="false" ht="15" hidden="false" customHeight="false" outlineLevel="0" collapsed="false">
      <c r="A18" s="13" t="s">
        <v>20</v>
      </c>
      <c r="B18" s="14" t="e">
        <f aca="false">SUMPRODUCT((Positions!D2:D100=A18)*(Positions!I2:I100))</f>
        <v>#NAME?</v>
      </c>
      <c r="C18" s="15" t="e">
        <f aca="false">IF(B$9&lt;&gt;0,B18/B$9,0)</f>
        <v>#NAME?</v>
      </c>
    </row>
    <row r="19" customFormat="false" ht="15" hidden="false" customHeight="false" outlineLevel="0" collapsed="false">
      <c r="A19" s="13" t="s">
        <v>21</v>
      </c>
      <c r="B19" s="14" t="e">
        <f aca="false">SUMPRODUCT((Positions!D2:D100=A19)*(Positions!I2:I100))</f>
        <v>#NAME?</v>
      </c>
      <c r="C19" s="15" t="e">
        <f aca="false">IF(B$9&lt;&gt;0,B19/B$9,0)</f>
        <v>#NAME?</v>
      </c>
    </row>
    <row r="20" customFormat="false" ht="15" hidden="false" customHeight="false" outlineLevel="0" collapsed="false">
      <c r="A20" s="13" t="s">
        <v>22</v>
      </c>
      <c r="B20" s="14" t="e">
        <f aca="false">SUMPRODUCT((Positions!D2:D100=A20)*(Positions!I2:I100))</f>
        <v>#NAME?</v>
      </c>
      <c r="C20" s="15" t="e">
        <f aca="false">IF(B$9&lt;&gt;0,B20/B$9,0)</f>
        <v>#NAME?</v>
      </c>
    </row>
    <row r="21" customFormat="false" ht="15" hidden="false" customHeight="false" outlineLevel="0" collapsed="false">
      <c r="A21" s="13" t="s">
        <v>23</v>
      </c>
      <c r="B21" s="14" t="e">
        <f aca="false">SUMPRODUCT((Positions!D2:D100=A21)*(Positions!I2:I100))</f>
        <v>#NAME?</v>
      </c>
      <c r="C21" s="15" t="e">
        <f aca="false">IF(B$9&lt;&gt;0,B21/B$9,0)</f>
        <v>#NAME?</v>
      </c>
    </row>
    <row r="22" customFormat="false" ht="15" hidden="false" customHeight="false" outlineLevel="0" collapsed="false">
      <c r="A22" s="13" t="s">
        <v>24</v>
      </c>
      <c r="B22" s="14" t="e">
        <f aca="false">SUMPRODUCT((Positions!D2:D100=A22)*(Positions!I2:I100))</f>
        <v>#NAME?</v>
      </c>
      <c r="C22" s="15" t="e">
        <f aca="false">IF(B$9&lt;&gt;0,B22/B$9,0)</f>
        <v>#NAME?</v>
      </c>
    </row>
    <row r="23" customFormat="false" ht="15" hidden="false" customHeight="false" outlineLevel="0" collapsed="false">
      <c r="A23" s="13" t="s">
        <v>25</v>
      </c>
      <c r="B23" s="14" t="e">
        <f aca="false">SUMPRODUCT((Positions!D2:D100=A23)*(Positions!I2:I100))</f>
        <v>#NAME?</v>
      </c>
      <c r="C23" s="15" t="e">
        <f aca="false">IF(B$9&lt;&gt;0,B23/B$9,0)</f>
        <v>#NAME?</v>
      </c>
    </row>
    <row r="25" customFormat="false" ht="15" hidden="false" customHeight="false" outlineLevel="0" collapsed="false">
      <c r="A25" s="3" t="s">
        <v>26</v>
      </c>
    </row>
    <row r="26" customFormat="false" ht="15" hidden="false" customHeight="false" outlineLevel="0" collapsed="false">
      <c r="A26" s="4" t="s">
        <v>27</v>
      </c>
      <c r="B26" s="4" t="s">
        <v>28</v>
      </c>
      <c r="C26" s="4" t="s">
        <v>29</v>
      </c>
    </row>
    <row r="27" customFormat="false" ht="15" hidden="false" customHeight="false" outlineLevel="0" collapsed="false">
      <c r="A27" s="13" t="s">
        <v>30</v>
      </c>
      <c r="B27" s="6" t="e">
        <f aca="false">googlefinance("GLD","price")</f>
        <v>#NAME?</v>
      </c>
      <c r="C27" s="16" t="s">
        <v>31</v>
      </c>
    </row>
    <row r="28" customFormat="false" ht="15" hidden="false" customHeight="false" outlineLevel="0" collapsed="false">
      <c r="A28" s="13" t="s">
        <v>32</v>
      </c>
      <c r="B28" s="6" t="e">
        <f aca="false">googlefinance("SPY","price")</f>
        <v>#NAME?</v>
      </c>
      <c r="C28" s="16" t="s">
        <v>31</v>
      </c>
    </row>
    <row r="29" customFormat="false" ht="15" hidden="false" customHeight="false" outlineLevel="0" collapsed="false">
      <c r="A29" s="13" t="s">
        <v>33</v>
      </c>
      <c r="B29" s="6"/>
      <c r="C29" s="16" t="s">
        <v>34</v>
      </c>
    </row>
    <row r="30" customFormat="false" ht="15" hidden="false" customHeight="false" outlineLevel="0" collapsed="false">
      <c r="A30" s="13" t="s">
        <v>35</v>
      </c>
      <c r="B30" s="6"/>
      <c r="C30" s="16" t="s">
        <v>34</v>
      </c>
    </row>
    <row r="31" customFormat="false" ht="15" hidden="false" customHeight="false" outlineLevel="0" collapsed="false">
      <c r="A31" s="13" t="s">
        <v>36</v>
      </c>
      <c r="B31" s="6"/>
      <c r="C31" s="16" t="s">
        <v>34</v>
      </c>
    </row>
    <row r="32" customFormat="false" ht="15" hidden="false" customHeight="false" outlineLevel="0" collapsed="false">
      <c r="A32" s="13" t="s">
        <v>37</v>
      </c>
      <c r="B32" s="6"/>
      <c r="C32" s="16" t="s">
        <v>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7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</row>
    <row r="2" customFormat="false" ht="15" hidden="false" customHeight="false" outlineLevel="0" collapsed="false">
      <c r="A2" s="0" t="s">
        <v>8</v>
      </c>
      <c r="B2" s="0" t="s">
        <v>15</v>
      </c>
      <c r="C2" s="0" t="s">
        <v>44</v>
      </c>
      <c r="D2" s="0" t="s">
        <v>45</v>
      </c>
      <c r="E2" s="0" t="s">
        <v>46</v>
      </c>
      <c r="F2" s="0" t="s">
        <v>47</v>
      </c>
    </row>
    <row r="3" customFormat="false" ht="15" hidden="false" customHeight="false" outlineLevel="0" collapsed="false">
      <c r="A3" s="0" t="s">
        <v>9</v>
      </c>
      <c r="B3" s="0" t="s">
        <v>16</v>
      </c>
      <c r="C3" s="0" t="s">
        <v>48</v>
      </c>
      <c r="D3" s="0" t="s">
        <v>49</v>
      </c>
      <c r="E3" s="0" t="s">
        <v>50</v>
      </c>
      <c r="F3" s="0" t="s">
        <v>51</v>
      </c>
    </row>
    <row r="4" customFormat="false" ht="15" hidden="false" customHeight="false" outlineLevel="0" collapsed="false">
      <c r="A4" s="0" t="s">
        <v>10</v>
      </c>
      <c r="B4" s="0" t="s">
        <v>17</v>
      </c>
      <c r="C4" s="0" t="s">
        <v>52</v>
      </c>
      <c r="D4" s="0" t="s">
        <v>53</v>
      </c>
      <c r="E4" s="0" t="s">
        <v>54</v>
      </c>
      <c r="F4" s="0" t="s">
        <v>55</v>
      </c>
    </row>
    <row r="5" customFormat="false" ht="15" hidden="false" customHeight="false" outlineLevel="0" collapsed="false">
      <c r="A5" s="0" t="s">
        <v>56</v>
      </c>
      <c r="B5" s="0" t="s">
        <v>18</v>
      </c>
      <c r="C5" s="0" t="s">
        <v>57</v>
      </c>
      <c r="D5" s="0" t="s">
        <v>58</v>
      </c>
      <c r="F5" s="0" t="s">
        <v>59</v>
      </c>
    </row>
    <row r="6" customFormat="false" ht="15" hidden="false" customHeight="false" outlineLevel="0" collapsed="false">
      <c r="B6" s="0" t="s">
        <v>19</v>
      </c>
      <c r="C6" s="0" t="s">
        <v>60</v>
      </c>
    </row>
    <row r="7" customFormat="false" ht="15" hidden="false" customHeight="false" outlineLevel="0" collapsed="false">
      <c r="B7" s="0" t="s">
        <v>20</v>
      </c>
      <c r="C7" s="0" t="s">
        <v>61</v>
      </c>
    </row>
    <row r="8" customFormat="false" ht="15" hidden="false" customHeight="false" outlineLevel="0" collapsed="false">
      <c r="B8" s="0" t="s">
        <v>21</v>
      </c>
    </row>
    <row r="9" customFormat="false" ht="15" hidden="false" customHeight="false" outlineLevel="0" collapsed="false">
      <c r="B9" s="0" t="s">
        <v>22</v>
      </c>
    </row>
    <row r="10" customFormat="false" ht="15" hidden="false" customHeight="false" outlineLevel="0" collapsed="false">
      <c r="B10" s="0" t="s">
        <v>23</v>
      </c>
    </row>
    <row r="11" customFormat="false" ht="15" hidden="false" customHeight="false" outlineLevel="0" collapsed="false">
      <c r="B11" s="0" t="s">
        <v>24</v>
      </c>
    </row>
    <row r="12" customFormat="false" ht="15" hidden="false" customHeight="false" outlineLevel="0" collapsed="false">
      <c r="B12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1" min="7" style="0" width="14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8" min="15" style="0" width="12"/>
    <col collapsed="false" customWidth="true" hidden="false" outlineLevel="0" max="19" min="19" style="0" width="18"/>
    <col collapsed="false" customWidth="true" hidden="false" outlineLevel="0" max="20" min="20" style="0" width="35"/>
  </cols>
  <sheetData>
    <row r="1" customFormat="false" ht="15" hidden="false" customHeight="false" outlineLevel="0" collapsed="false">
      <c r="A1" s="4" t="s">
        <v>62</v>
      </c>
      <c r="B1" s="4" t="s">
        <v>63</v>
      </c>
      <c r="C1" s="4" t="s">
        <v>2</v>
      </c>
      <c r="D1" s="4" t="s">
        <v>13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14</v>
      </c>
      <c r="N1" s="4" t="s">
        <v>68</v>
      </c>
      <c r="O1" s="4" t="s">
        <v>69</v>
      </c>
      <c r="P1" s="4" t="s">
        <v>41</v>
      </c>
      <c r="Q1" s="4" t="s">
        <v>70</v>
      </c>
      <c r="R1" s="4" t="s">
        <v>71</v>
      </c>
      <c r="S1" s="4" t="s">
        <v>72</v>
      </c>
      <c r="T1" s="4" t="s">
        <v>73</v>
      </c>
    </row>
    <row r="2" customFormat="false" ht="15" hidden="false" customHeight="false" outlineLevel="0" collapsed="false">
      <c r="A2" s="18" t="s">
        <v>74</v>
      </c>
      <c r="B2" s="18" t="s">
        <v>75</v>
      </c>
      <c r="C2" s="18" t="s">
        <v>8</v>
      </c>
      <c r="D2" s="18" t="s">
        <v>16</v>
      </c>
      <c r="E2" s="18" t="s">
        <v>44</v>
      </c>
      <c r="F2" s="18" t="n">
        <v>25</v>
      </c>
      <c r="G2" s="19" t="n">
        <v>178.5</v>
      </c>
      <c r="H2" s="19" t="e">
        <f aca="false">googlefinance(A2,"price")</f>
        <v>#NAME?</v>
      </c>
      <c r="I2" s="19" t="e">
        <f aca="false">F2*H2</f>
        <v>#NAME?</v>
      </c>
      <c r="J2" s="19" t="n">
        <f aca="false">F2*G2</f>
        <v>4462.5</v>
      </c>
      <c r="K2" s="19" t="e">
        <f aca="false">I2-J2</f>
        <v>#NAME?</v>
      </c>
      <c r="L2" s="20" t="e">
        <f aca="false">IF(J2&lt;&gt;0,K2/J2,0)</f>
        <v>#NAME?</v>
      </c>
      <c r="M2" s="20" t="e">
        <f aca="false">IF(SUM($I$2:$I$100)&lt;&gt;0,I2/SUM($I$2:$I$100),0)</f>
        <v>#NAME?</v>
      </c>
      <c r="N2" s="18"/>
      <c r="O2" s="18"/>
      <c r="P2" s="18" t="s">
        <v>45</v>
      </c>
      <c r="Q2" s="19" t="n">
        <v>220</v>
      </c>
      <c r="R2" s="19" t="n">
        <v>165</v>
      </c>
      <c r="S2" s="18" t="s">
        <v>76</v>
      </c>
      <c r="T2" s="18" t="s">
        <v>77</v>
      </c>
    </row>
    <row r="3" customFormat="false" ht="15" hidden="false" customHeight="false" outlineLevel="0" collapsed="false">
      <c r="A3" s="18" t="s">
        <v>78</v>
      </c>
      <c r="B3" s="18" t="s">
        <v>79</v>
      </c>
      <c r="C3" s="18" t="s">
        <v>9</v>
      </c>
      <c r="D3" s="18" t="s">
        <v>15</v>
      </c>
      <c r="E3" s="18" t="s">
        <v>44</v>
      </c>
      <c r="F3" s="18" t="n">
        <v>50</v>
      </c>
      <c r="G3" s="19" t="n">
        <v>98.3</v>
      </c>
      <c r="H3" s="19" t="e">
        <f aca="false">googlefinance(A3,"price")</f>
        <v>#NAME?</v>
      </c>
      <c r="I3" s="19" t="e">
        <f aca="false">F3*H3</f>
        <v>#NAME?</v>
      </c>
      <c r="J3" s="19" t="n">
        <f aca="false">F3*G3</f>
        <v>4915</v>
      </c>
      <c r="K3" s="19" t="e">
        <f aca="false">I3-J3</f>
        <v>#NAME?</v>
      </c>
      <c r="L3" s="20" t="e">
        <f aca="false">IF(J3&lt;&gt;0,K3/J3,0)</f>
        <v>#NAME?</v>
      </c>
      <c r="M3" s="20" t="e">
        <f aca="false">IF(SUM($I$2:$I$100)&lt;&gt;0,I3/SUM($I$2:$I$100),0)</f>
        <v>#NAME?</v>
      </c>
      <c r="N3" s="20" t="n">
        <v>0.034</v>
      </c>
      <c r="O3" s="18"/>
      <c r="P3" s="18" t="s">
        <v>45</v>
      </c>
      <c r="Q3" s="19" t="n">
        <v>130</v>
      </c>
      <c r="R3" s="19" t="n">
        <v>90</v>
      </c>
      <c r="S3" s="18" t="s">
        <v>80</v>
      </c>
      <c r="T3" s="18" t="s">
        <v>81</v>
      </c>
    </row>
    <row r="4" customFormat="false" ht="15" hidden="false" customHeight="false" outlineLevel="0" collapsed="false">
      <c r="A4" s="18" t="s">
        <v>82</v>
      </c>
      <c r="B4" s="18" t="s">
        <v>83</v>
      </c>
      <c r="C4" s="18" t="s">
        <v>8</v>
      </c>
      <c r="D4" s="18" t="s">
        <v>17</v>
      </c>
      <c r="E4" s="18" t="s">
        <v>48</v>
      </c>
      <c r="F4" s="18" t="n">
        <v>40</v>
      </c>
      <c r="G4" s="19" t="n">
        <v>185</v>
      </c>
      <c r="H4" s="19" t="e">
        <f aca="false">googlefinance(A4,"price")</f>
        <v>#NAME?</v>
      </c>
      <c r="I4" s="19" t="e">
        <f aca="false">F4*H4</f>
        <v>#NAME?</v>
      </c>
      <c r="J4" s="19" t="n">
        <f aca="false">F4*G4</f>
        <v>7400</v>
      </c>
      <c r="K4" s="19" t="e">
        <f aca="false">I4-J4</f>
        <v>#NAME?</v>
      </c>
      <c r="L4" s="20" t="e">
        <f aca="false">IF(J4&lt;&gt;0,K4/J4,0)</f>
        <v>#NAME?</v>
      </c>
      <c r="M4" s="20" t="e">
        <f aca="false">IF(SUM($I$2:$I$100)&lt;&gt;0,I4/SUM($I$2:$I$100),0)</f>
        <v>#NAME?</v>
      </c>
      <c r="N4" s="18"/>
      <c r="O4" s="18"/>
      <c r="P4" s="18" t="s">
        <v>45</v>
      </c>
      <c r="Q4" s="18"/>
      <c r="R4" s="18"/>
      <c r="S4" s="18" t="s">
        <v>84</v>
      </c>
      <c r="T4" s="18" t="s">
        <v>85</v>
      </c>
    </row>
    <row r="5" customFormat="false" ht="15" hidden="false" customHeight="false" outlineLevel="0" collapsed="false">
      <c r="A5" s="18" t="s">
        <v>86</v>
      </c>
      <c r="B5" s="18" t="s">
        <v>87</v>
      </c>
      <c r="C5" s="18" t="s">
        <v>8</v>
      </c>
      <c r="D5" s="18" t="s">
        <v>16</v>
      </c>
      <c r="E5" s="18" t="s">
        <v>44</v>
      </c>
      <c r="F5" s="18" t="n">
        <v>100</v>
      </c>
      <c r="G5" s="19" t="n">
        <v>42.15</v>
      </c>
      <c r="H5" s="19" t="e">
        <f aca="false">googlefinance(A5,"price")</f>
        <v>#NAME?</v>
      </c>
      <c r="I5" s="19" t="e">
        <f aca="false">F5*H5</f>
        <v>#NAME?</v>
      </c>
      <c r="J5" s="19" t="n">
        <f aca="false">F5*G5</f>
        <v>4215</v>
      </c>
      <c r="K5" s="19" t="e">
        <f aca="false">I5-J5</f>
        <v>#NAME?</v>
      </c>
      <c r="L5" s="20" t="e">
        <f aca="false">IF(J5&lt;&gt;0,K5/J5,0)</f>
        <v>#NAME?</v>
      </c>
      <c r="M5" s="20" t="e">
        <f aca="false">IF(SUM($I$2:$I$100)&lt;&gt;0,I5/SUM($I$2:$I$100),0)</f>
        <v>#NAME?</v>
      </c>
      <c r="N5" s="18"/>
      <c r="O5" s="18"/>
      <c r="P5" s="18" t="s">
        <v>45</v>
      </c>
      <c r="Q5" s="19" t="n">
        <v>55</v>
      </c>
      <c r="R5" s="19" t="n">
        <v>30</v>
      </c>
      <c r="S5" s="18" t="s">
        <v>88</v>
      </c>
      <c r="T5" s="18" t="s">
        <v>89</v>
      </c>
    </row>
    <row r="6" customFormat="false" ht="15" hidden="false" customHeight="false" outlineLevel="0" collapsed="false">
      <c r="A6" s="18" t="s">
        <v>90</v>
      </c>
      <c r="B6" s="18" t="s">
        <v>91</v>
      </c>
      <c r="C6" s="18" t="s">
        <v>9</v>
      </c>
      <c r="D6" s="18" t="s">
        <v>17</v>
      </c>
      <c r="E6" s="18" t="s">
        <v>44</v>
      </c>
      <c r="F6" s="18" t="n">
        <v>30</v>
      </c>
      <c r="G6" s="19" t="n">
        <v>52.4</v>
      </c>
      <c r="H6" s="19" t="e">
        <f aca="false">googlefinance(A6,"price")</f>
        <v>#NAME?</v>
      </c>
      <c r="I6" s="19" t="e">
        <f aca="false">F6*H6</f>
        <v>#NAME?</v>
      </c>
      <c r="J6" s="19" t="n">
        <f aca="false">F6*G6</f>
        <v>1572</v>
      </c>
      <c r="K6" s="19" t="e">
        <f aca="false">I6-J6</f>
        <v>#NAME?</v>
      </c>
      <c r="L6" s="20" t="e">
        <f aca="false">IF(J6&lt;&gt;0,K6/J6,0)</f>
        <v>#NAME?</v>
      </c>
      <c r="M6" s="20" t="e">
        <f aca="false">IF(SUM($I$2:$I$100)&lt;&gt;0,I6/SUM($I$2:$I$100),0)</f>
        <v>#NAME?</v>
      </c>
      <c r="N6" s="20" t="n">
        <v>0.038</v>
      </c>
      <c r="O6" s="18"/>
      <c r="P6" s="18" t="s">
        <v>45</v>
      </c>
      <c r="Q6" s="19" t="n">
        <v>75</v>
      </c>
      <c r="R6" s="18"/>
      <c r="S6" s="18" t="s">
        <v>92</v>
      </c>
      <c r="T6" s="18" t="s">
        <v>93</v>
      </c>
    </row>
    <row r="7" customFormat="false" ht="15" hidden="false" customHeight="false" outlineLevel="0" collapsed="false">
      <c r="H7" s="0" t="str">
        <f aca="false">IF(A7&lt;&gt;"",googlefinance(A7,"price"),"")</f>
        <v/>
      </c>
      <c r="I7" s="0" t="str">
        <f aca="false">IF(F7&lt;&gt;"",F7*H7,"")</f>
        <v/>
      </c>
      <c r="J7" s="0" t="str">
        <f aca="false">IF(F7&lt;&gt;"",F7*G7,"")</f>
        <v/>
      </c>
      <c r="K7" s="0" t="str">
        <f aca="false">IF(J7&lt;&gt;"",I7-J7,"")</f>
        <v/>
      </c>
      <c r="L7" s="0" t="str">
        <f aca="false">IF(AND(J7&lt;&gt;"",J7&lt;&gt;0),K7/J7,"")</f>
        <v/>
      </c>
      <c r="M7" s="0" t="str">
        <f aca="false">IF(I7&lt;&gt;"",IF(SUM($I$2:$I$100)&lt;&gt;0,I7/SUM($I$2:$I$100),""),"")</f>
        <v/>
      </c>
    </row>
    <row r="8" customFormat="false" ht="15" hidden="false" customHeight="false" outlineLevel="0" collapsed="false">
      <c r="H8" s="0" t="str">
        <f aca="false">IF(A8&lt;&gt;"",googlefinance(A8,"price"),"")</f>
        <v/>
      </c>
      <c r="I8" s="0" t="str">
        <f aca="false">IF(F8&lt;&gt;"",F8*H8,"")</f>
        <v/>
      </c>
      <c r="J8" s="0" t="str">
        <f aca="false">IF(F8&lt;&gt;"",F8*G8,"")</f>
        <v/>
      </c>
      <c r="K8" s="0" t="str">
        <f aca="false">IF(J8&lt;&gt;"",I8-J8,"")</f>
        <v/>
      </c>
      <c r="L8" s="0" t="str">
        <f aca="false">IF(AND(J8&lt;&gt;"",J8&lt;&gt;0),K8/J8,"")</f>
        <v/>
      </c>
      <c r="M8" s="0" t="str">
        <f aca="false">IF(I8&lt;&gt;"",IF(SUM($I$2:$I$100)&lt;&gt;0,I8/SUM($I$2:$I$100),""),"")</f>
        <v/>
      </c>
    </row>
    <row r="9" customFormat="false" ht="15" hidden="false" customHeight="false" outlineLevel="0" collapsed="false">
      <c r="H9" s="0" t="str">
        <f aca="false">IF(A9&lt;&gt;"",googlefinance(A9,"price"),"")</f>
        <v/>
      </c>
      <c r="I9" s="0" t="str">
        <f aca="false">IF(F9&lt;&gt;"",F9*H9,"")</f>
        <v/>
      </c>
      <c r="J9" s="0" t="str">
        <f aca="false">IF(F9&lt;&gt;"",F9*G9,"")</f>
        <v/>
      </c>
      <c r="K9" s="0" t="str">
        <f aca="false">IF(J9&lt;&gt;"",I9-J9,"")</f>
        <v/>
      </c>
      <c r="L9" s="0" t="str">
        <f aca="false">IF(AND(J9&lt;&gt;"",J9&lt;&gt;0),K9/J9,"")</f>
        <v/>
      </c>
      <c r="M9" s="0" t="str">
        <f aca="false">IF(I9&lt;&gt;"",IF(SUM($I$2:$I$100)&lt;&gt;0,I9/SUM($I$2:$I$100),""),"")</f>
        <v/>
      </c>
    </row>
    <row r="10" customFormat="false" ht="15" hidden="false" customHeight="false" outlineLevel="0" collapsed="false">
      <c r="H10" s="0" t="str">
        <f aca="false">IF(A10&lt;&gt;"",googlefinance(A10,"price"),"")</f>
        <v/>
      </c>
      <c r="I10" s="0" t="str">
        <f aca="false">IF(F10&lt;&gt;"",F10*H10,"")</f>
        <v/>
      </c>
      <c r="J10" s="0" t="str">
        <f aca="false">IF(F10&lt;&gt;"",F10*G10,"")</f>
        <v/>
      </c>
      <c r="K10" s="0" t="str">
        <f aca="false">IF(J10&lt;&gt;"",I10-J10,"")</f>
        <v/>
      </c>
      <c r="L10" s="0" t="str">
        <f aca="false">IF(AND(J10&lt;&gt;"",J10&lt;&gt;0),K10/J10,"")</f>
        <v/>
      </c>
      <c r="M10" s="0" t="str">
        <f aca="false">IF(I10&lt;&gt;"",IF(SUM($I$2:$I$100)&lt;&gt;0,I10/SUM($I$2:$I$100),""),"")</f>
        <v/>
      </c>
    </row>
    <row r="11" customFormat="false" ht="15" hidden="false" customHeight="false" outlineLevel="0" collapsed="false">
      <c r="H11" s="0" t="str">
        <f aca="false">IF(A11&lt;&gt;"",googlefinance(A11,"price"),"")</f>
        <v/>
      </c>
      <c r="I11" s="0" t="str">
        <f aca="false">IF(F11&lt;&gt;"",F11*H11,"")</f>
        <v/>
      </c>
      <c r="J11" s="0" t="str">
        <f aca="false">IF(F11&lt;&gt;"",F11*G11,"")</f>
        <v/>
      </c>
      <c r="K11" s="0" t="str">
        <f aca="false">IF(J11&lt;&gt;"",I11-J11,"")</f>
        <v/>
      </c>
      <c r="L11" s="0" t="str">
        <f aca="false">IF(AND(J11&lt;&gt;"",J11&lt;&gt;0),K11/J11,"")</f>
        <v/>
      </c>
      <c r="M11" s="0" t="str">
        <f aca="false">IF(I11&lt;&gt;"",IF(SUM($I$2:$I$100)&lt;&gt;0,I11/SUM($I$2:$I$100),""),"")</f>
        <v/>
      </c>
    </row>
    <row r="12" customFormat="false" ht="15" hidden="false" customHeight="false" outlineLevel="0" collapsed="false">
      <c r="H12" s="0" t="str">
        <f aca="false">IF(A12&lt;&gt;"",googlefinance(A12,"price"),"")</f>
        <v/>
      </c>
      <c r="I12" s="0" t="str">
        <f aca="false">IF(F12&lt;&gt;"",F12*H12,"")</f>
        <v/>
      </c>
      <c r="J12" s="0" t="str">
        <f aca="false">IF(F12&lt;&gt;"",F12*G12,"")</f>
        <v/>
      </c>
      <c r="K12" s="0" t="str">
        <f aca="false">IF(J12&lt;&gt;"",I12-J12,"")</f>
        <v/>
      </c>
      <c r="L12" s="0" t="str">
        <f aca="false">IF(AND(J12&lt;&gt;"",J12&lt;&gt;0),K12/J12,"")</f>
        <v/>
      </c>
      <c r="M12" s="0" t="str">
        <f aca="false">IF(I12&lt;&gt;"",IF(SUM($I$2:$I$100)&lt;&gt;0,I12/SUM($I$2:$I$100),""),"")</f>
        <v/>
      </c>
    </row>
    <row r="13" customFormat="false" ht="15" hidden="false" customHeight="false" outlineLevel="0" collapsed="false">
      <c r="H13" s="0" t="str">
        <f aca="false">IF(A13&lt;&gt;"",googlefinance(A13,"price"),"")</f>
        <v/>
      </c>
      <c r="I13" s="0" t="str">
        <f aca="false">IF(F13&lt;&gt;"",F13*H13,"")</f>
        <v/>
      </c>
      <c r="J13" s="0" t="str">
        <f aca="false">IF(F13&lt;&gt;"",F13*G13,"")</f>
        <v/>
      </c>
      <c r="K13" s="0" t="str">
        <f aca="false">IF(J13&lt;&gt;"",I13-J13,"")</f>
        <v/>
      </c>
      <c r="L13" s="0" t="str">
        <f aca="false">IF(AND(J13&lt;&gt;"",J13&lt;&gt;0),K13/J13,"")</f>
        <v/>
      </c>
      <c r="M13" s="0" t="str">
        <f aca="false">IF(I13&lt;&gt;"",IF(SUM($I$2:$I$100)&lt;&gt;0,I13/SUM($I$2:$I$100),""),"")</f>
        <v/>
      </c>
    </row>
    <row r="14" customFormat="false" ht="15" hidden="false" customHeight="false" outlineLevel="0" collapsed="false">
      <c r="H14" s="0" t="str">
        <f aca="false">IF(A14&lt;&gt;"",googlefinance(A14,"price"),"")</f>
        <v/>
      </c>
      <c r="I14" s="0" t="str">
        <f aca="false">IF(F14&lt;&gt;"",F14*H14,"")</f>
        <v/>
      </c>
      <c r="J14" s="0" t="str">
        <f aca="false">IF(F14&lt;&gt;"",F14*G14,"")</f>
        <v/>
      </c>
      <c r="K14" s="0" t="str">
        <f aca="false">IF(J14&lt;&gt;"",I14-J14,"")</f>
        <v/>
      </c>
      <c r="L14" s="0" t="str">
        <f aca="false">IF(AND(J14&lt;&gt;"",J14&lt;&gt;0),K14/J14,"")</f>
        <v/>
      </c>
      <c r="M14" s="0" t="str">
        <f aca="false">IF(I14&lt;&gt;"",IF(SUM($I$2:$I$100)&lt;&gt;0,I14/SUM($I$2:$I$100),""),"")</f>
        <v/>
      </c>
    </row>
    <row r="15" customFormat="false" ht="15" hidden="false" customHeight="false" outlineLevel="0" collapsed="false">
      <c r="H15" s="0" t="str">
        <f aca="false">IF(A15&lt;&gt;"",googlefinance(A15,"price"),"")</f>
        <v/>
      </c>
      <c r="I15" s="0" t="str">
        <f aca="false">IF(F15&lt;&gt;"",F15*H15,"")</f>
        <v/>
      </c>
      <c r="J15" s="0" t="str">
        <f aca="false">IF(F15&lt;&gt;"",F15*G15,"")</f>
        <v/>
      </c>
      <c r="K15" s="0" t="str">
        <f aca="false">IF(J15&lt;&gt;"",I15-J15,"")</f>
        <v/>
      </c>
      <c r="L15" s="0" t="str">
        <f aca="false">IF(AND(J15&lt;&gt;"",J15&lt;&gt;0),K15/J15,"")</f>
        <v/>
      </c>
      <c r="M15" s="0" t="str">
        <f aca="false">IF(I15&lt;&gt;"",IF(SUM($I$2:$I$100)&lt;&gt;0,I15/SUM($I$2:$I$100),""),"")</f>
        <v/>
      </c>
    </row>
    <row r="16" customFormat="false" ht="15" hidden="false" customHeight="false" outlineLevel="0" collapsed="false">
      <c r="H16" s="0" t="str">
        <f aca="false">IF(A16&lt;&gt;"",googlefinance(A16,"price"),"")</f>
        <v/>
      </c>
      <c r="I16" s="0" t="str">
        <f aca="false">IF(F16&lt;&gt;"",F16*H16,"")</f>
        <v/>
      </c>
      <c r="J16" s="0" t="str">
        <f aca="false">IF(F16&lt;&gt;"",F16*G16,"")</f>
        <v/>
      </c>
      <c r="K16" s="0" t="str">
        <f aca="false">IF(J16&lt;&gt;"",I16-J16,"")</f>
        <v/>
      </c>
      <c r="L16" s="0" t="str">
        <f aca="false">IF(AND(J16&lt;&gt;"",J16&lt;&gt;0),K16/J16,"")</f>
        <v/>
      </c>
      <c r="M16" s="0" t="str">
        <f aca="false">IF(I16&lt;&gt;"",IF(SUM($I$2:$I$100)&lt;&gt;0,I16/SUM($I$2:$I$100),""),"")</f>
        <v/>
      </c>
    </row>
    <row r="17" customFormat="false" ht="15" hidden="false" customHeight="false" outlineLevel="0" collapsed="false">
      <c r="H17" s="0" t="str">
        <f aca="false">IF(A17&lt;&gt;"",googlefinance(A17,"price"),"")</f>
        <v/>
      </c>
      <c r="I17" s="0" t="str">
        <f aca="false">IF(F17&lt;&gt;"",F17*H17,"")</f>
        <v/>
      </c>
      <c r="J17" s="0" t="str">
        <f aca="false">IF(F17&lt;&gt;"",F17*G17,"")</f>
        <v/>
      </c>
      <c r="K17" s="0" t="str">
        <f aca="false">IF(J17&lt;&gt;"",I17-J17,"")</f>
        <v/>
      </c>
      <c r="L17" s="0" t="str">
        <f aca="false">IF(AND(J17&lt;&gt;"",J17&lt;&gt;0),K17/J17,"")</f>
        <v/>
      </c>
      <c r="M17" s="0" t="str">
        <f aca="false">IF(I17&lt;&gt;"",IF(SUM($I$2:$I$100)&lt;&gt;0,I17/SUM($I$2:$I$100),""),"")</f>
        <v/>
      </c>
    </row>
    <row r="18" customFormat="false" ht="15" hidden="false" customHeight="false" outlineLevel="0" collapsed="false">
      <c r="H18" s="0" t="str">
        <f aca="false">IF(A18&lt;&gt;"",googlefinance(A18,"price"),"")</f>
        <v/>
      </c>
      <c r="I18" s="0" t="str">
        <f aca="false">IF(F18&lt;&gt;"",F18*H18,"")</f>
        <v/>
      </c>
      <c r="J18" s="0" t="str">
        <f aca="false">IF(F18&lt;&gt;"",F18*G18,"")</f>
        <v/>
      </c>
      <c r="K18" s="0" t="str">
        <f aca="false">IF(J18&lt;&gt;"",I18-J18,"")</f>
        <v/>
      </c>
      <c r="L18" s="0" t="str">
        <f aca="false">IF(AND(J18&lt;&gt;"",J18&lt;&gt;0),K18/J18,"")</f>
        <v/>
      </c>
      <c r="M18" s="0" t="str">
        <f aca="false">IF(I18&lt;&gt;"",IF(SUM($I$2:$I$100)&lt;&gt;0,I18/SUM($I$2:$I$100),""),"")</f>
        <v/>
      </c>
    </row>
    <row r="19" customFormat="false" ht="15" hidden="false" customHeight="false" outlineLevel="0" collapsed="false">
      <c r="H19" s="0" t="str">
        <f aca="false">IF(A19&lt;&gt;"",googlefinance(A19,"price"),"")</f>
        <v/>
      </c>
      <c r="I19" s="0" t="str">
        <f aca="false">IF(F19&lt;&gt;"",F19*H19,"")</f>
        <v/>
      </c>
      <c r="J19" s="0" t="str">
        <f aca="false">IF(F19&lt;&gt;"",F19*G19,"")</f>
        <v/>
      </c>
      <c r="K19" s="0" t="str">
        <f aca="false">IF(J19&lt;&gt;"",I19-J19,"")</f>
        <v/>
      </c>
      <c r="L19" s="0" t="str">
        <f aca="false">IF(AND(J19&lt;&gt;"",J19&lt;&gt;0),K19/J19,"")</f>
        <v/>
      </c>
      <c r="M19" s="0" t="str">
        <f aca="false">IF(I19&lt;&gt;"",IF(SUM($I$2:$I$100)&lt;&gt;0,I19/SUM($I$2:$I$100),""),"")</f>
        <v/>
      </c>
    </row>
    <row r="20" customFormat="false" ht="15" hidden="false" customHeight="false" outlineLevel="0" collapsed="false">
      <c r="H20" s="0" t="str">
        <f aca="false">IF(A20&lt;&gt;"",googlefinance(A20,"price"),"")</f>
        <v/>
      </c>
      <c r="I20" s="0" t="str">
        <f aca="false">IF(F20&lt;&gt;"",F20*H20,"")</f>
        <v/>
      </c>
      <c r="J20" s="0" t="str">
        <f aca="false">IF(F20&lt;&gt;"",F20*G20,"")</f>
        <v/>
      </c>
      <c r="K20" s="0" t="str">
        <f aca="false">IF(J20&lt;&gt;"",I20-J20,"")</f>
        <v/>
      </c>
      <c r="L20" s="0" t="str">
        <f aca="false">IF(AND(J20&lt;&gt;"",J20&lt;&gt;0),K20/J20,"")</f>
        <v/>
      </c>
      <c r="M20" s="0" t="str">
        <f aca="false">IF(I20&lt;&gt;"",IF(SUM($I$2:$I$100)&lt;&gt;0,I20/SUM($I$2:$I$100),""),"")</f>
        <v/>
      </c>
    </row>
    <row r="21" customFormat="false" ht="15" hidden="false" customHeight="false" outlineLevel="0" collapsed="false">
      <c r="H21" s="0" t="str">
        <f aca="false">IF(A21&lt;&gt;"",googlefinance(A21,"price"),"")</f>
        <v/>
      </c>
      <c r="I21" s="0" t="str">
        <f aca="false">IF(F21&lt;&gt;"",F21*H21,"")</f>
        <v/>
      </c>
      <c r="J21" s="0" t="str">
        <f aca="false">IF(F21&lt;&gt;"",F21*G21,"")</f>
        <v/>
      </c>
      <c r="K21" s="0" t="str">
        <f aca="false">IF(J21&lt;&gt;"",I21-J21,"")</f>
        <v/>
      </c>
      <c r="L21" s="0" t="str">
        <f aca="false">IF(AND(J21&lt;&gt;"",J21&lt;&gt;0),K21/J21,"")</f>
        <v/>
      </c>
      <c r="M21" s="0" t="str">
        <f aca="false">IF(I21&lt;&gt;"",IF(SUM($I$2:$I$100)&lt;&gt;0,I21/SUM($I$2:$I$100),""),"")</f>
        <v/>
      </c>
    </row>
    <row r="22" customFormat="false" ht="15" hidden="false" customHeight="false" outlineLevel="0" collapsed="false">
      <c r="H22" s="0" t="str">
        <f aca="false">IF(A22&lt;&gt;"",googlefinance(A22,"price"),"")</f>
        <v/>
      </c>
      <c r="I22" s="0" t="str">
        <f aca="false">IF(F22&lt;&gt;"",F22*H22,"")</f>
        <v/>
      </c>
      <c r="J22" s="0" t="str">
        <f aca="false">IF(F22&lt;&gt;"",F22*G22,"")</f>
        <v/>
      </c>
      <c r="K22" s="0" t="str">
        <f aca="false">IF(J22&lt;&gt;"",I22-J22,"")</f>
        <v/>
      </c>
      <c r="L22" s="0" t="str">
        <f aca="false">IF(AND(J22&lt;&gt;"",J22&lt;&gt;0),K22/J22,"")</f>
        <v/>
      </c>
      <c r="M22" s="0" t="str">
        <f aca="false">IF(I22&lt;&gt;"",IF(SUM($I$2:$I$100)&lt;&gt;0,I22/SUM($I$2:$I$100),""),"")</f>
        <v/>
      </c>
    </row>
    <row r="23" customFormat="false" ht="15" hidden="false" customHeight="false" outlineLevel="0" collapsed="false">
      <c r="H23" s="0" t="str">
        <f aca="false">IF(A23&lt;&gt;"",googlefinance(A23,"price"),"")</f>
        <v/>
      </c>
      <c r="I23" s="0" t="str">
        <f aca="false">IF(F23&lt;&gt;"",F23*H23,"")</f>
        <v/>
      </c>
      <c r="J23" s="0" t="str">
        <f aca="false">IF(F23&lt;&gt;"",F23*G23,"")</f>
        <v/>
      </c>
      <c r="K23" s="0" t="str">
        <f aca="false">IF(J23&lt;&gt;"",I23-J23,"")</f>
        <v/>
      </c>
      <c r="L23" s="0" t="str">
        <f aca="false">IF(AND(J23&lt;&gt;"",J23&lt;&gt;0),K23/J23,"")</f>
        <v/>
      </c>
      <c r="M23" s="0" t="str">
        <f aca="false">IF(I23&lt;&gt;"",IF(SUM($I$2:$I$100)&lt;&gt;0,I23/SUM($I$2:$I$100),""),"")</f>
        <v/>
      </c>
    </row>
    <row r="24" customFormat="false" ht="15" hidden="false" customHeight="false" outlineLevel="0" collapsed="false">
      <c r="H24" s="0" t="str">
        <f aca="false">IF(A24&lt;&gt;"",googlefinance(A24,"price"),"")</f>
        <v/>
      </c>
      <c r="I24" s="0" t="str">
        <f aca="false">IF(F24&lt;&gt;"",F24*H24,"")</f>
        <v/>
      </c>
      <c r="J24" s="0" t="str">
        <f aca="false">IF(F24&lt;&gt;"",F24*G24,"")</f>
        <v/>
      </c>
      <c r="K24" s="0" t="str">
        <f aca="false">IF(J24&lt;&gt;"",I24-J24,"")</f>
        <v/>
      </c>
      <c r="L24" s="0" t="str">
        <f aca="false">IF(AND(J24&lt;&gt;"",J24&lt;&gt;0),K24/J24,"")</f>
        <v/>
      </c>
      <c r="M24" s="0" t="str">
        <f aca="false">IF(I24&lt;&gt;"",IF(SUM($I$2:$I$100)&lt;&gt;0,I24/SUM($I$2:$I$100),""),"")</f>
        <v/>
      </c>
    </row>
    <row r="25" customFormat="false" ht="15" hidden="false" customHeight="false" outlineLevel="0" collapsed="false">
      <c r="H25" s="0" t="str">
        <f aca="false">IF(A25&lt;&gt;"",googlefinance(A25,"price"),"")</f>
        <v/>
      </c>
      <c r="I25" s="0" t="str">
        <f aca="false">IF(F25&lt;&gt;"",F25*H25,"")</f>
        <v/>
      </c>
      <c r="J25" s="0" t="str">
        <f aca="false">IF(F25&lt;&gt;"",F25*G25,"")</f>
        <v/>
      </c>
      <c r="K25" s="0" t="str">
        <f aca="false">IF(J25&lt;&gt;"",I25-J25,"")</f>
        <v/>
      </c>
      <c r="L25" s="0" t="str">
        <f aca="false">IF(AND(J25&lt;&gt;"",J25&lt;&gt;0),K25/J25,"")</f>
        <v/>
      </c>
      <c r="M25" s="0" t="str">
        <f aca="false">IF(I25&lt;&gt;"",IF(SUM($I$2:$I$100)&lt;&gt;0,I25/SUM($I$2:$I$100),""),"")</f>
        <v/>
      </c>
    </row>
    <row r="26" customFormat="false" ht="15" hidden="false" customHeight="false" outlineLevel="0" collapsed="false">
      <c r="H26" s="0" t="str">
        <f aca="false">IF(A26&lt;&gt;"",googlefinance(A26,"price"),"")</f>
        <v/>
      </c>
      <c r="I26" s="0" t="str">
        <f aca="false">IF(F26&lt;&gt;"",F26*H26,"")</f>
        <v/>
      </c>
      <c r="J26" s="0" t="str">
        <f aca="false">IF(F26&lt;&gt;"",F26*G26,"")</f>
        <v/>
      </c>
      <c r="K26" s="0" t="str">
        <f aca="false">IF(J26&lt;&gt;"",I26-J26,"")</f>
        <v/>
      </c>
      <c r="L26" s="0" t="str">
        <f aca="false">IF(AND(J26&lt;&gt;"",J26&lt;&gt;0),K26/J26,"")</f>
        <v/>
      </c>
      <c r="M26" s="0" t="str">
        <f aca="false">IF(I26&lt;&gt;"",IF(SUM($I$2:$I$100)&lt;&gt;0,I26/SUM($I$2:$I$100),""),"")</f>
        <v/>
      </c>
    </row>
    <row r="27" customFormat="false" ht="15" hidden="false" customHeight="false" outlineLevel="0" collapsed="false">
      <c r="H27" s="0" t="str">
        <f aca="false">IF(A27&lt;&gt;"",googlefinance(A27,"price"),"")</f>
        <v/>
      </c>
      <c r="I27" s="0" t="str">
        <f aca="false">IF(F27&lt;&gt;"",F27*H27,"")</f>
        <v/>
      </c>
      <c r="J27" s="0" t="str">
        <f aca="false">IF(F27&lt;&gt;"",F27*G27,"")</f>
        <v/>
      </c>
      <c r="K27" s="0" t="str">
        <f aca="false">IF(J27&lt;&gt;"",I27-J27,"")</f>
        <v/>
      </c>
      <c r="L27" s="0" t="str">
        <f aca="false">IF(AND(J27&lt;&gt;"",J27&lt;&gt;0),K27/J27,"")</f>
        <v/>
      </c>
      <c r="M27" s="0" t="str">
        <f aca="false">IF(I27&lt;&gt;"",IF(SUM($I$2:$I$100)&lt;&gt;0,I27/SUM($I$2:$I$100),""),"")</f>
        <v/>
      </c>
    </row>
    <row r="28" customFormat="false" ht="15" hidden="false" customHeight="false" outlineLevel="0" collapsed="false">
      <c r="H28" s="0" t="str">
        <f aca="false">IF(A28&lt;&gt;"",googlefinance(A28,"price"),"")</f>
        <v/>
      </c>
      <c r="I28" s="0" t="str">
        <f aca="false">IF(F28&lt;&gt;"",F28*H28,"")</f>
        <v/>
      </c>
      <c r="J28" s="0" t="str">
        <f aca="false">IF(F28&lt;&gt;"",F28*G28,"")</f>
        <v/>
      </c>
      <c r="K28" s="0" t="str">
        <f aca="false">IF(J28&lt;&gt;"",I28-J28,"")</f>
        <v/>
      </c>
      <c r="L28" s="0" t="str">
        <f aca="false">IF(AND(J28&lt;&gt;"",J28&lt;&gt;0),K28/J28,"")</f>
        <v/>
      </c>
      <c r="M28" s="0" t="str">
        <f aca="false">IF(I28&lt;&gt;"",IF(SUM($I$2:$I$100)&lt;&gt;0,I28/SUM($I$2:$I$100),""),"")</f>
        <v/>
      </c>
    </row>
    <row r="29" customFormat="false" ht="15" hidden="false" customHeight="false" outlineLevel="0" collapsed="false">
      <c r="H29" s="0" t="str">
        <f aca="false">IF(A29&lt;&gt;"",googlefinance(A29,"price"),"")</f>
        <v/>
      </c>
      <c r="I29" s="0" t="str">
        <f aca="false">IF(F29&lt;&gt;"",F29*H29,"")</f>
        <v/>
      </c>
      <c r="J29" s="0" t="str">
        <f aca="false">IF(F29&lt;&gt;"",F29*G29,"")</f>
        <v/>
      </c>
      <c r="K29" s="0" t="str">
        <f aca="false">IF(J29&lt;&gt;"",I29-J29,"")</f>
        <v/>
      </c>
      <c r="L29" s="0" t="str">
        <f aca="false">IF(AND(J29&lt;&gt;"",J29&lt;&gt;0),K29/J29,"")</f>
        <v/>
      </c>
      <c r="M29" s="0" t="str">
        <f aca="false">IF(I29&lt;&gt;"",IF(SUM($I$2:$I$100)&lt;&gt;0,I29/SUM($I$2:$I$100),""),"")</f>
        <v/>
      </c>
    </row>
    <row r="30" customFormat="false" ht="15" hidden="false" customHeight="false" outlineLevel="0" collapsed="false">
      <c r="H30" s="0" t="str">
        <f aca="false">IF(A30&lt;&gt;"",googlefinance(A30,"price"),"")</f>
        <v/>
      </c>
      <c r="I30" s="0" t="str">
        <f aca="false">IF(F30&lt;&gt;"",F30*H30,"")</f>
        <v/>
      </c>
      <c r="J30" s="0" t="str">
        <f aca="false">IF(F30&lt;&gt;"",F30*G30,"")</f>
        <v/>
      </c>
      <c r="K30" s="0" t="str">
        <f aca="false">IF(J30&lt;&gt;"",I30-J30,"")</f>
        <v/>
      </c>
      <c r="L30" s="0" t="str">
        <f aca="false">IF(AND(J30&lt;&gt;"",J30&lt;&gt;0),K30/J30,"")</f>
        <v/>
      </c>
      <c r="M30" s="0" t="str">
        <f aca="false">IF(I30&lt;&gt;"",IF(SUM($I$2:$I$100)&lt;&gt;0,I30/SUM($I$2:$I$100),""),"")</f>
        <v/>
      </c>
    </row>
    <row r="31" customFormat="false" ht="15" hidden="false" customHeight="false" outlineLevel="0" collapsed="false">
      <c r="H31" s="0" t="str">
        <f aca="false">IF(A31&lt;&gt;"",googlefinance(A31,"price"),"")</f>
        <v/>
      </c>
      <c r="I31" s="0" t="str">
        <f aca="false">IF(F31&lt;&gt;"",F31*H31,"")</f>
        <v/>
      </c>
      <c r="J31" s="0" t="str">
        <f aca="false">IF(F31&lt;&gt;"",F31*G31,"")</f>
        <v/>
      </c>
      <c r="K31" s="0" t="str">
        <f aca="false">IF(J31&lt;&gt;"",I31-J31,"")</f>
        <v/>
      </c>
      <c r="L31" s="0" t="str">
        <f aca="false">IF(AND(J31&lt;&gt;"",J31&lt;&gt;0),K31/J31,"")</f>
        <v/>
      </c>
      <c r="M31" s="0" t="str">
        <f aca="false">IF(I31&lt;&gt;"",IF(SUM($I$2:$I$100)&lt;&gt;0,I31/SUM($I$2:$I$100),""),"")</f>
        <v/>
      </c>
    </row>
    <row r="32" customFormat="false" ht="15" hidden="false" customHeight="false" outlineLevel="0" collapsed="false">
      <c r="H32" s="0" t="str">
        <f aca="false">IF(A32&lt;&gt;"",googlefinance(A32,"price"),"")</f>
        <v/>
      </c>
      <c r="I32" s="0" t="str">
        <f aca="false">IF(F32&lt;&gt;"",F32*H32,"")</f>
        <v/>
      </c>
      <c r="J32" s="0" t="str">
        <f aca="false">IF(F32&lt;&gt;"",F32*G32,"")</f>
        <v/>
      </c>
      <c r="K32" s="0" t="str">
        <f aca="false">IF(J32&lt;&gt;"",I32-J32,"")</f>
        <v/>
      </c>
      <c r="L32" s="0" t="str">
        <f aca="false">IF(AND(J32&lt;&gt;"",J32&lt;&gt;0),K32/J32,"")</f>
        <v/>
      </c>
      <c r="M32" s="0" t="str">
        <f aca="false">IF(I32&lt;&gt;"",IF(SUM($I$2:$I$100)&lt;&gt;0,I32/SUM($I$2:$I$100),""),"")</f>
        <v/>
      </c>
    </row>
    <row r="33" customFormat="false" ht="15" hidden="false" customHeight="false" outlineLevel="0" collapsed="false">
      <c r="H33" s="0" t="str">
        <f aca="false">IF(A33&lt;&gt;"",googlefinance(A33,"price"),"")</f>
        <v/>
      </c>
      <c r="I33" s="0" t="str">
        <f aca="false">IF(F33&lt;&gt;"",F33*H33,"")</f>
        <v/>
      </c>
      <c r="J33" s="0" t="str">
        <f aca="false">IF(F33&lt;&gt;"",F33*G33,"")</f>
        <v/>
      </c>
      <c r="K33" s="0" t="str">
        <f aca="false">IF(J33&lt;&gt;"",I33-J33,"")</f>
        <v/>
      </c>
      <c r="L33" s="0" t="str">
        <f aca="false">IF(AND(J33&lt;&gt;"",J33&lt;&gt;0),K33/J33,"")</f>
        <v/>
      </c>
      <c r="M33" s="0" t="str">
        <f aca="false">IF(I33&lt;&gt;"",IF(SUM($I$2:$I$100)&lt;&gt;0,I33/SUM($I$2:$I$100),""),"")</f>
        <v/>
      </c>
    </row>
    <row r="34" customFormat="false" ht="15" hidden="false" customHeight="false" outlineLevel="0" collapsed="false">
      <c r="H34" s="0" t="str">
        <f aca="false">IF(A34&lt;&gt;"",googlefinance(A34,"price"),"")</f>
        <v/>
      </c>
      <c r="I34" s="0" t="str">
        <f aca="false">IF(F34&lt;&gt;"",F34*H34,"")</f>
        <v/>
      </c>
      <c r="J34" s="0" t="str">
        <f aca="false">IF(F34&lt;&gt;"",F34*G34,"")</f>
        <v/>
      </c>
      <c r="K34" s="0" t="str">
        <f aca="false">IF(J34&lt;&gt;"",I34-J34,"")</f>
        <v/>
      </c>
      <c r="L34" s="0" t="str">
        <f aca="false">IF(AND(J34&lt;&gt;"",J34&lt;&gt;0),K34/J34,"")</f>
        <v/>
      </c>
      <c r="M34" s="0" t="str">
        <f aca="false">IF(I34&lt;&gt;"",IF(SUM($I$2:$I$100)&lt;&gt;0,I34/SUM($I$2:$I$100),""),"")</f>
        <v/>
      </c>
    </row>
    <row r="35" customFormat="false" ht="15" hidden="false" customHeight="false" outlineLevel="0" collapsed="false">
      <c r="H35" s="0" t="str">
        <f aca="false">IF(A35&lt;&gt;"",googlefinance(A35,"price"),"")</f>
        <v/>
      </c>
      <c r="I35" s="0" t="str">
        <f aca="false">IF(F35&lt;&gt;"",F35*H35,"")</f>
        <v/>
      </c>
      <c r="J35" s="0" t="str">
        <f aca="false">IF(F35&lt;&gt;"",F35*G35,"")</f>
        <v/>
      </c>
      <c r="K35" s="0" t="str">
        <f aca="false">IF(J35&lt;&gt;"",I35-J35,"")</f>
        <v/>
      </c>
      <c r="L35" s="0" t="str">
        <f aca="false">IF(AND(J35&lt;&gt;"",J35&lt;&gt;0),K35/J35,"")</f>
        <v/>
      </c>
      <c r="M35" s="0" t="str">
        <f aca="false">IF(I35&lt;&gt;"",IF(SUM($I$2:$I$100)&lt;&gt;0,I35/SUM($I$2:$I$100),""),"")</f>
        <v/>
      </c>
    </row>
    <row r="36" customFormat="false" ht="15" hidden="false" customHeight="false" outlineLevel="0" collapsed="false">
      <c r="H36" s="0" t="str">
        <f aca="false">IF(A36&lt;&gt;"",googlefinance(A36,"price"),"")</f>
        <v/>
      </c>
      <c r="I36" s="0" t="str">
        <f aca="false">IF(F36&lt;&gt;"",F36*H36,"")</f>
        <v/>
      </c>
      <c r="J36" s="0" t="str">
        <f aca="false">IF(F36&lt;&gt;"",F36*G36,"")</f>
        <v/>
      </c>
      <c r="K36" s="0" t="str">
        <f aca="false">IF(J36&lt;&gt;"",I36-J36,"")</f>
        <v/>
      </c>
      <c r="L36" s="0" t="str">
        <f aca="false">IF(AND(J36&lt;&gt;"",J36&lt;&gt;0),K36/J36,"")</f>
        <v/>
      </c>
      <c r="M36" s="0" t="str">
        <f aca="false">IF(I36&lt;&gt;"",IF(SUM($I$2:$I$100)&lt;&gt;0,I36/SUM($I$2:$I$100),""),"")</f>
        <v/>
      </c>
    </row>
    <row r="37" customFormat="false" ht="15" hidden="false" customHeight="false" outlineLevel="0" collapsed="false">
      <c r="H37" s="0" t="str">
        <f aca="false">IF(A37&lt;&gt;"",googlefinance(A37,"price"),"")</f>
        <v/>
      </c>
      <c r="I37" s="0" t="str">
        <f aca="false">IF(F37&lt;&gt;"",F37*H37,"")</f>
        <v/>
      </c>
      <c r="J37" s="0" t="str">
        <f aca="false">IF(F37&lt;&gt;"",F37*G37,"")</f>
        <v/>
      </c>
      <c r="K37" s="0" t="str">
        <f aca="false">IF(J37&lt;&gt;"",I37-J37,"")</f>
        <v/>
      </c>
      <c r="L37" s="0" t="str">
        <f aca="false">IF(AND(J37&lt;&gt;"",J37&lt;&gt;0),K37/J37,"")</f>
        <v/>
      </c>
      <c r="M37" s="0" t="str">
        <f aca="false">IF(I37&lt;&gt;"",IF(SUM($I$2:$I$100)&lt;&gt;0,I37/SUM($I$2:$I$100),""),"")</f>
        <v/>
      </c>
    </row>
    <row r="38" customFormat="false" ht="15" hidden="false" customHeight="false" outlineLevel="0" collapsed="false">
      <c r="H38" s="0" t="str">
        <f aca="false">IF(A38&lt;&gt;"",googlefinance(A38,"price"),"")</f>
        <v/>
      </c>
      <c r="I38" s="0" t="str">
        <f aca="false">IF(F38&lt;&gt;"",F38*H38,"")</f>
        <v/>
      </c>
      <c r="J38" s="0" t="str">
        <f aca="false">IF(F38&lt;&gt;"",F38*G38,"")</f>
        <v/>
      </c>
      <c r="K38" s="0" t="str">
        <f aca="false">IF(J38&lt;&gt;"",I38-J38,"")</f>
        <v/>
      </c>
      <c r="L38" s="0" t="str">
        <f aca="false">IF(AND(J38&lt;&gt;"",J38&lt;&gt;0),K38/J38,"")</f>
        <v/>
      </c>
      <c r="M38" s="0" t="str">
        <f aca="false">IF(I38&lt;&gt;"",IF(SUM($I$2:$I$100)&lt;&gt;0,I38/SUM($I$2:$I$100),""),"")</f>
        <v/>
      </c>
    </row>
    <row r="39" customFormat="false" ht="15" hidden="false" customHeight="false" outlineLevel="0" collapsed="false">
      <c r="H39" s="0" t="str">
        <f aca="false">IF(A39&lt;&gt;"",googlefinance(A39,"price"),"")</f>
        <v/>
      </c>
      <c r="I39" s="0" t="str">
        <f aca="false">IF(F39&lt;&gt;"",F39*H39,"")</f>
        <v/>
      </c>
      <c r="J39" s="0" t="str">
        <f aca="false">IF(F39&lt;&gt;"",F39*G39,"")</f>
        <v/>
      </c>
      <c r="K39" s="0" t="str">
        <f aca="false">IF(J39&lt;&gt;"",I39-J39,"")</f>
        <v/>
      </c>
      <c r="L39" s="0" t="str">
        <f aca="false">IF(AND(J39&lt;&gt;"",J39&lt;&gt;0),K39/J39,"")</f>
        <v/>
      </c>
      <c r="M39" s="0" t="str">
        <f aca="false">IF(I39&lt;&gt;"",IF(SUM($I$2:$I$100)&lt;&gt;0,I39/SUM($I$2:$I$100),""),"")</f>
        <v/>
      </c>
    </row>
    <row r="40" customFormat="false" ht="15" hidden="false" customHeight="false" outlineLevel="0" collapsed="false">
      <c r="H40" s="0" t="str">
        <f aca="false">IF(A40&lt;&gt;"",googlefinance(A40,"price"),"")</f>
        <v/>
      </c>
      <c r="I40" s="0" t="str">
        <f aca="false">IF(F40&lt;&gt;"",F40*H40,"")</f>
        <v/>
      </c>
      <c r="J40" s="0" t="str">
        <f aca="false">IF(F40&lt;&gt;"",F40*G40,"")</f>
        <v/>
      </c>
      <c r="K40" s="0" t="str">
        <f aca="false">IF(J40&lt;&gt;"",I40-J40,"")</f>
        <v/>
      </c>
      <c r="L40" s="0" t="str">
        <f aca="false">IF(AND(J40&lt;&gt;"",J40&lt;&gt;0),K40/J40,"")</f>
        <v/>
      </c>
      <c r="M40" s="0" t="str">
        <f aca="false">IF(I40&lt;&gt;"",IF(SUM($I$2:$I$100)&lt;&gt;0,I40/SUM($I$2:$I$100),""),"")</f>
        <v/>
      </c>
    </row>
    <row r="41" customFormat="false" ht="15" hidden="false" customHeight="false" outlineLevel="0" collapsed="false">
      <c r="H41" s="0" t="str">
        <f aca="false">IF(A41&lt;&gt;"",googlefinance(A41,"price"),"")</f>
        <v/>
      </c>
      <c r="I41" s="0" t="str">
        <f aca="false">IF(F41&lt;&gt;"",F41*H41,"")</f>
        <v/>
      </c>
      <c r="J41" s="0" t="str">
        <f aca="false">IF(F41&lt;&gt;"",F41*G41,"")</f>
        <v/>
      </c>
      <c r="K41" s="0" t="str">
        <f aca="false">IF(J41&lt;&gt;"",I41-J41,"")</f>
        <v/>
      </c>
      <c r="L41" s="0" t="str">
        <f aca="false">IF(AND(J41&lt;&gt;"",J41&lt;&gt;0),K41/J41,"")</f>
        <v/>
      </c>
      <c r="M41" s="0" t="str">
        <f aca="false">IF(I41&lt;&gt;"",IF(SUM($I$2:$I$100)&lt;&gt;0,I41/SUM($I$2:$I$100),""),"")</f>
        <v/>
      </c>
    </row>
    <row r="42" customFormat="false" ht="15" hidden="false" customHeight="false" outlineLevel="0" collapsed="false">
      <c r="H42" s="0" t="str">
        <f aca="false">IF(A42&lt;&gt;"",googlefinance(A42,"price"),"")</f>
        <v/>
      </c>
      <c r="I42" s="0" t="str">
        <f aca="false">IF(F42&lt;&gt;"",F42*H42,"")</f>
        <v/>
      </c>
      <c r="J42" s="0" t="str">
        <f aca="false">IF(F42&lt;&gt;"",F42*G42,"")</f>
        <v/>
      </c>
      <c r="K42" s="0" t="str">
        <f aca="false">IF(J42&lt;&gt;"",I42-J42,"")</f>
        <v/>
      </c>
      <c r="L42" s="0" t="str">
        <f aca="false">IF(AND(J42&lt;&gt;"",J42&lt;&gt;0),K42/J42,"")</f>
        <v/>
      </c>
      <c r="M42" s="0" t="str">
        <f aca="false">IF(I42&lt;&gt;"",IF(SUM($I$2:$I$100)&lt;&gt;0,I42/SUM($I$2:$I$100),""),"")</f>
        <v/>
      </c>
    </row>
    <row r="43" customFormat="false" ht="15" hidden="false" customHeight="false" outlineLevel="0" collapsed="false">
      <c r="H43" s="0" t="str">
        <f aca="false">IF(A43&lt;&gt;"",googlefinance(A43,"price"),"")</f>
        <v/>
      </c>
      <c r="I43" s="0" t="str">
        <f aca="false">IF(F43&lt;&gt;"",F43*H43,"")</f>
        <v/>
      </c>
      <c r="J43" s="0" t="str">
        <f aca="false">IF(F43&lt;&gt;"",F43*G43,"")</f>
        <v/>
      </c>
      <c r="K43" s="0" t="str">
        <f aca="false">IF(J43&lt;&gt;"",I43-J43,"")</f>
        <v/>
      </c>
      <c r="L43" s="0" t="str">
        <f aca="false">IF(AND(J43&lt;&gt;"",J43&lt;&gt;0),K43/J43,"")</f>
        <v/>
      </c>
      <c r="M43" s="0" t="str">
        <f aca="false">IF(I43&lt;&gt;"",IF(SUM($I$2:$I$100)&lt;&gt;0,I43/SUM($I$2:$I$100),""),"")</f>
        <v/>
      </c>
    </row>
    <row r="44" customFormat="false" ht="15" hidden="false" customHeight="false" outlineLevel="0" collapsed="false">
      <c r="H44" s="0" t="str">
        <f aca="false">IF(A44&lt;&gt;"",googlefinance(A44,"price"),"")</f>
        <v/>
      </c>
      <c r="I44" s="0" t="str">
        <f aca="false">IF(F44&lt;&gt;"",F44*H44,"")</f>
        <v/>
      </c>
      <c r="J44" s="0" t="str">
        <f aca="false">IF(F44&lt;&gt;"",F44*G44,"")</f>
        <v/>
      </c>
      <c r="K44" s="0" t="str">
        <f aca="false">IF(J44&lt;&gt;"",I44-J44,"")</f>
        <v/>
      </c>
      <c r="L44" s="0" t="str">
        <f aca="false">IF(AND(J44&lt;&gt;"",J44&lt;&gt;0),K44/J44,"")</f>
        <v/>
      </c>
      <c r="M44" s="0" t="str">
        <f aca="false">IF(I44&lt;&gt;"",IF(SUM($I$2:$I$100)&lt;&gt;0,I44/SUM($I$2:$I$100),""),"")</f>
        <v/>
      </c>
    </row>
    <row r="45" customFormat="false" ht="15" hidden="false" customHeight="false" outlineLevel="0" collapsed="false">
      <c r="H45" s="0" t="str">
        <f aca="false">IF(A45&lt;&gt;"",googlefinance(A45,"price"),"")</f>
        <v/>
      </c>
      <c r="I45" s="0" t="str">
        <f aca="false">IF(F45&lt;&gt;"",F45*H45,"")</f>
        <v/>
      </c>
      <c r="J45" s="0" t="str">
        <f aca="false">IF(F45&lt;&gt;"",F45*G45,"")</f>
        <v/>
      </c>
      <c r="K45" s="0" t="str">
        <f aca="false">IF(J45&lt;&gt;"",I45-J45,"")</f>
        <v/>
      </c>
      <c r="L45" s="0" t="str">
        <f aca="false">IF(AND(J45&lt;&gt;"",J45&lt;&gt;0),K45/J45,"")</f>
        <v/>
      </c>
      <c r="M45" s="0" t="str">
        <f aca="false">IF(I45&lt;&gt;"",IF(SUM($I$2:$I$100)&lt;&gt;0,I45/SUM($I$2:$I$100),""),"")</f>
        <v/>
      </c>
    </row>
    <row r="46" customFormat="false" ht="15" hidden="false" customHeight="false" outlineLevel="0" collapsed="false">
      <c r="H46" s="0" t="str">
        <f aca="false">IF(A46&lt;&gt;"",googlefinance(A46,"price"),"")</f>
        <v/>
      </c>
      <c r="I46" s="0" t="str">
        <f aca="false">IF(F46&lt;&gt;"",F46*H46,"")</f>
        <v/>
      </c>
      <c r="J46" s="0" t="str">
        <f aca="false">IF(F46&lt;&gt;"",F46*G46,"")</f>
        <v/>
      </c>
      <c r="K46" s="0" t="str">
        <f aca="false">IF(J46&lt;&gt;"",I46-J46,"")</f>
        <v/>
      </c>
      <c r="L46" s="0" t="str">
        <f aca="false">IF(AND(J46&lt;&gt;"",J46&lt;&gt;0),K46/J46,"")</f>
        <v/>
      </c>
      <c r="M46" s="0" t="str">
        <f aca="false">IF(I46&lt;&gt;"",IF(SUM($I$2:$I$100)&lt;&gt;0,I46/SUM($I$2:$I$100),""),"")</f>
        <v/>
      </c>
    </row>
    <row r="47" customFormat="false" ht="15" hidden="false" customHeight="false" outlineLevel="0" collapsed="false">
      <c r="H47" s="0" t="str">
        <f aca="false">IF(A47&lt;&gt;"",googlefinance(A47,"price"),"")</f>
        <v/>
      </c>
      <c r="I47" s="0" t="str">
        <f aca="false">IF(F47&lt;&gt;"",F47*H47,"")</f>
        <v/>
      </c>
      <c r="J47" s="0" t="str">
        <f aca="false">IF(F47&lt;&gt;"",F47*G47,"")</f>
        <v/>
      </c>
      <c r="K47" s="0" t="str">
        <f aca="false">IF(J47&lt;&gt;"",I47-J47,"")</f>
        <v/>
      </c>
      <c r="L47" s="0" t="str">
        <f aca="false">IF(AND(J47&lt;&gt;"",J47&lt;&gt;0),K47/J47,"")</f>
        <v/>
      </c>
      <c r="M47" s="0" t="str">
        <f aca="false">IF(I47&lt;&gt;"",IF(SUM($I$2:$I$100)&lt;&gt;0,I47/SUM($I$2:$I$100),""),"")</f>
        <v/>
      </c>
    </row>
    <row r="48" customFormat="false" ht="15" hidden="false" customHeight="false" outlineLevel="0" collapsed="false">
      <c r="H48" s="0" t="str">
        <f aca="false">IF(A48&lt;&gt;"",googlefinance(A48,"price"),"")</f>
        <v/>
      </c>
      <c r="I48" s="0" t="str">
        <f aca="false">IF(F48&lt;&gt;"",F48*H48,"")</f>
        <v/>
      </c>
      <c r="J48" s="0" t="str">
        <f aca="false">IF(F48&lt;&gt;"",F48*G48,"")</f>
        <v/>
      </c>
      <c r="K48" s="0" t="str">
        <f aca="false">IF(J48&lt;&gt;"",I48-J48,"")</f>
        <v/>
      </c>
      <c r="L48" s="0" t="str">
        <f aca="false">IF(AND(J48&lt;&gt;"",J48&lt;&gt;0),K48/J48,"")</f>
        <v/>
      </c>
      <c r="M48" s="0" t="str">
        <f aca="false">IF(I48&lt;&gt;"",IF(SUM($I$2:$I$100)&lt;&gt;0,I48/SUM($I$2:$I$100),""),"")</f>
        <v/>
      </c>
    </row>
    <row r="49" customFormat="false" ht="15" hidden="false" customHeight="false" outlineLevel="0" collapsed="false">
      <c r="H49" s="0" t="str">
        <f aca="false">IF(A49&lt;&gt;"",googlefinance(A49,"price"),"")</f>
        <v/>
      </c>
      <c r="I49" s="0" t="str">
        <f aca="false">IF(F49&lt;&gt;"",F49*H49,"")</f>
        <v/>
      </c>
      <c r="J49" s="0" t="str">
        <f aca="false">IF(F49&lt;&gt;"",F49*G49,"")</f>
        <v/>
      </c>
      <c r="K49" s="0" t="str">
        <f aca="false">IF(J49&lt;&gt;"",I49-J49,"")</f>
        <v/>
      </c>
      <c r="L49" s="0" t="str">
        <f aca="false">IF(AND(J49&lt;&gt;"",J49&lt;&gt;0),K49/J49,"")</f>
        <v/>
      </c>
      <c r="M49" s="0" t="str">
        <f aca="false">IF(I49&lt;&gt;"",IF(SUM($I$2:$I$100)&lt;&gt;0,I49/SUM($I$2:$I$100),""),"")</f>
        <v/>
      </c>
    </row>
    <row r="50" customFormat="false" ht="15" hidden="false" customHeight="false" outlineLevel="0" collapsed="false">
      <c r="H50" s="0" t="str">
        <f aca="false">IF(A50&lt;&gt;"",googlefinance(A50,"price"),"")</f>
        <v/>
      </c>
      <c r="I50" s="0" t="str">
        <f aca="false">IF(F50&lt;&gt;"",F50*H50,"")</f>
        <v/>
      </c>
      <c r="J50" s="0" t="str">
        <f aca="false">IF(F50&lt;&gt;"",F50*G50,"")</f>
        <v/>
      </c>
      <c r="K50" s="0" t="str">
        <f aca="false">IF(J50&lt;&gt;"",I50-J50,"")</f>
        <v/>
      </c>
      <c r="L50" s="0" t="str">
        <f aca="false">IF(AND(J50&lt;&gt;"",J50&lt;&gt;0),K50/J50,"")</f>
        <v/>
      </c>
      <c r="M50" s="0" t="str">
        <f aca="false">IF(I50&lt;&gt;"",IF(SUM($I$2:$I$100)&lt;&gt;0,I50/SUM($I$2:$I$100),""),"")</f>
        <v/>
      </c>
    </row>
    <row r="51" customFormat="false" ht="15" hidden="false" customHeight="false" outlineLevel="0" collapsed="false">
      <c r="H51" s="0" t="str">
        <f aca="false">IF(A51&lt;&gt;"",googlefinance(A51,"price"),"")</f>
        <v/>
      </c>
      <c r="I51" s="0" t="str">
        <f aca="false">IF(F51&lt;&gt;"",F51*H51,"")</f>
        <v/>
      </c>
      <c r="J51" s="0" t="str">
        <f aca="false">IF(F51&lt;&gt;"",F51*G51,"")</f>
        <v/>
      </c>
      <c r="K51" s="0" t="str">
        <f aca="false">IF(J51&lt;&gt;"",I51-J51,"")</f>
        <v/>
      </c>
      <c r="L51" s="0" t="str">
        <f aca="false">IF(AND(J51&lt;&gt;"",J51&lt;&gt;0),K51/J51,"")</f>
        <v/>
      </c>
      <c r="M51" s="0" t="str">
        <f aca="false">IF(I51&lt;&gt;"",IF(SUM($I$2:$I$100)&lt;&gt;0,I51/SUM($I$2:$I$100),""),"")</f>
        <v/>
      </c>
    </row>
    <row r="52" customFormat="false" ht="15" hidden="false" customHeight="false" outlineLevel="0" collapsed="false">
      <c r="H52" s="0" t="str">
        <f aca="false">IF(A52&lt;&gt;"",googlefinance(A52,"price"),"")</f>
        <v/>
      </c>
      <c r="I52" s="0" t="str">
        <f aca="false">IF(F52&lt;&gt;"",F52*H52,"")</f>
        <v/>
      </c>
      <c r="J52" s="0" t="str">
        <f aca="false">IF(F52&lt;&gt;"",F52*G52,"")</f>
        <v/>
      </c>
      <c r="K52" s="0" t="str">
        <f aca="false">IF(J52&lt;&gt;"",I52-J52,"")</f>
        <v/>
      </c>
      <c r="L52" s="0" t="str">
        <f aca="false">IF(AND(J52&lt;&gt;"",J52&lt;&gt;0),K52/J52,"")</f>
        <v/>
      </c>
      <c r="M52" s="0" t="str">
        <f aca="false">IF(I52&lt;&gt;"",IF(SUM($I$2:$I$100)&lt;&gt;0,I52/SUM($I$2:$I$100),""),"")</f>
        <v/>
      </c>
    </row>
    <row r="53" customFormat="false" ht="15" hidden="false" customHeight="false" outlineLevel="0" collapsed="false">
      <c r="H53" s="0" t="str">
        <f aca="false">IF(A53&lt;&gt;"",googlefinance(A53,"price"),"")</f>
        <v/>
      </c>
      <c r="I53" s="0" t="str">
        <f aca="false">IF(F53&lt;&gt;"",F53*H53,"")</f>
        <v/>
      </c>
      <c r="J53" s="0" t="str">
        <f aca="false">IF(F53&lt;&gt;"",F53*G53,"")</f>
        <v/>
      </c>
      <c r="K53" s="0" t="str">
        <f aca="false">IF(J53&lt;&gt;"",I53-J53,"")</f>
        <v/>
      </c>
      <c r="L53" s="0" t="str">
        <f aca="false">IF(AND(J53&lt;&gt;"",J53&lt;&gt;0),K53/J53,"")</f>
        <v/>
      </c>
      <c r="M53" s="0" t="str">
        <f aca="false">IF(I53&lt;&gt;"",IF(SUM($I$2:$I$100)&lt;&gt;0,I53/SUM($I$2:$I$100),""),"")</f>
        <v/>
      </c>
    </row>
    <row r="54" customFormat="false" ht="15" hidden="false" customHeight="false" outlineLevel="0" collapsed="false">
      <c r="H54" s="0" t="str">
        <f aca="false">IF(A54&lt;&gt;"",googlefinance(A54,"price"),"")</f>
        <v/>
      </c>
      <c r="I54" s="0" t="str">
        <f aca="false">IF(F54&lt;&gt;"",F54*H54,"")</f>
        <v/>
      </c>
      <c r="J54" s="0" t="str">
        <f aca="false">IF(F54&lt;&gt;"",F54*G54,"")</f>
        <v/>
      </c>
      <c r="K54" s="0" t="str">
        <f aca="false">IF(J54&lt;&gt;"",I54-J54,"")</f>
        <v/>
      </c>
      <c r="L54" s="0" t="str">
        <f aca="false">IF(AND(J54&lt;&gt;"",J54&lt;&gt;0),K54/J54,"")</f>
        <v/>
      </c>
      <c r="M54" s="0" t="str">
        <f aca="false">IF(I54&lt;&gt;"",IF(SUM($I$2:$I$100)&lt;&gt;0,I54/SUM($I$2:$I$100),""),"")</f>
        <v/>
      </c>
    </row>
    <row r="55" customFormat="false" ht="15" hidden="false" customHeight="false" outlineLevel="0" collapsed="false">
      <c r="H55" s="0" t="str">
        <f aca="false">IF(A55&lt;&gt;"",googlefinance(A55,"price"),"")</f>
        <v/>
      </c>
      <c r="I55" s="0" t="str">
        <f aca="false">IF(F55&lt;&gt;"",F55*H55,"")</f>
        <v/>
      </c>
      <c r="J55" s="0" t="str">
        <f aca="false">IF(F55&lt;&gt;"",F55*G55,"")</f>
        <v/>
      </c>
      <c r="K55" s="0" t="str">
        <f aca="false">IF(J55&lt;&gt;"",I55-J55,"")</f>
        <v/>
      </c>
      <c r="L55" s="0" t="str">
        <f aca="false">IF(AND(J55&lt;&gt;"",J55&lt;&gt;0),K55/J55,"")</f>
        <v/>
      </c>
      <c r="M55" s="0" t="str">
        <f aca="false">IF(I55&lt;&gt;"",IF(SUM($I$2:$I$100)&lt;&gt;0,I55/SUM($I$2:$I$100),""),"")</f>
        <v/>
      </c>
    </row>
    <row r="56" customFormat="false" ht="15" hidden="false" customHeight="false" outlineLevel="0" collapsed="false">
      <c r="H56" s="0" t="str">
        <f aca="false">IF(A56&lt;&gt;"",googlefinance(A56,"price"),"")</f>
        <v/>
      </c>
      <c r="I56" s="0" t="str">
        <f aca="false">IF(F56&lt;&gt;"",F56*H56,"")</f>
        <v/>
      </c>
      <c r="J56" s="0" t="str">
        <f aca="false">IF(F56&lt;&gt;"",F56*G56,"")</f>
        <v/>
      </c>
      <c r="K56" s="0" t="str">
        <f aca="false">IF(J56&lt;&gt;"",I56-J56,"")</f>
        <v/>
      </c>
      <c r="L56" s="0" t="str">
        <f aca="false">IF(AND(J56&lt;&gt;"",J56&lt;&gt;0),K56/J56,"")</f>
        <v/>
      </c>
      <c r="M56" s="0" t="str">
        <f aca="false">IF(I56&lt;&gt;"",IF(SUM($I$2:$I$100)&lt;&gt;0,I56/SUM($I$2:$I$100),""),"")</f>
        <v/>
      </c>
    </row>
    <row r="57" customFormat="false" ht="15" hidden="false" customHeight="false" outlineLevel="0" collapsed="false">
      <c r="H57" s="0" t="str">
        <f aca="false">IF(A57&lt;&gt;"",googlefinance(A57,"price"),"")</f>
        <v/>
      </c>
      <c r="I57" s="0" t="str">
        <f aca="false">IF(F57&lt;&gt;"",F57*H57,"")</f>
        <v/>
      </c>
      <c r="J57" s="0" t="str">
        <f aca="false">IF(F57&lt;&gt;"",F57*G57,"")</f>
        <v/>
      </c>
      <c r="K57" s="0" t="str">
        <f aca="false">IF(J57&lt;&gt;"",I57-J57,"")</f>
        <v/>
      </c>
      <c r="L57" s="0" t="str">
        <f aca="false">IF(AND(J57&lt;&gt;"",J57&lt;&gt;0),K57/J57,"")</f>
        <v/>
      </c>
      <c r="M57" s="0" t="str">
        <f aca="false">IF(I57&lt;&gt;"",IF(SUM($I$2:$I$100)&lt;&gt;0,I57/SUM($I$2:$I$100),""),"")</f>
        <v/>
      </c>
    </row>
    <row r="58" customFormat="false" ht="15" hidden="false" customHeight="false" outlineLevel="0" collapsed="false">
      <c r="H58" s="0" t="str">
        <f aca="false">IF(A58&lt;&gt;"",googlefinance(A58,"price"),"")</f>
        <v/>
      </c>
      <c r="I58" s="0" t="str">
        <f aca="false">IF(F58&lt;&gt;"",F58*H58,"")</f>
        <v/>
      </c>
      <c r="J58" s="0" t="str">
        <f aca="false">IF(F58&lt;&gt;"",F58*G58,"")</f>
        <v/>
      </c>
      <c r="K58" s="0" t="str">
        <f aca="false">IF(J58&lt;&gt;"",I58-J58,"")</f>
        <v/>
      </c>
      <c r="L58" s="0" t="str">
        <f aca="false">IF(AND(J58&lt;&gt;"",J58&lt;&gt;0),K58/J58,"")</f>
        <v/>
      </c>
      <c r="M58" s="0" t="str">
        <f aca="false">IF(I58&lt;&gt;"",IF(SUM($I$2:$I$100)&lt;&gt;0,I58/SUM($I$2:$I$100),""),"")</f>
        <v/>
      </c>
    </row>
    <row r="59" customFormat="false" ht="15" hidden="false" customHeight="false" outlineLevel="0" collapsed="false">
      <c r="H59" s="0" t="str">
        <f aca="false">IF(A59&lt;&gt;"",googlefinance(A59,"price"),"")</f>
        <v/>
      </c>
      <c r="I59" s="0" t="str">
        <f aca="false">IF(F59&lt;&gt;"",F59*H59,"")</f>
        <v/>
      </c>
      <c r="J59" s="0" t="str">
        <f aca="false">IF(F59&lt;&gt;"",F59*G59,"")</f>
        <v/>
      </c>
      <c r="K59" s="0" t="str">
        <f aca="false">IF(J59&lt;&gt;"",I59-J59,"")</f>
        <v/>
      </c>
      <c r="L59" s="0" t="str">
        <f aca="false">IF(AND(J59&lt;&gt;"",J59&lt;&gt;0),K59/J59,"")</f>
        <v/>
      </c>
      <c r="M59" s="0" t="str">
        <f aca="false">IF(I59&lt;&gt;"",IF(SUM($I$2:$I$100)&lt;&gt;0,I59/SUM($I$2:$I$100),""),"")</f>
        <v/>
      </c>
    </row>
    <row r="60" customFormat="false" ht="15" hidden="false" customHeight="false" outlineLevel="0" collapsed="false">
      <c r="H60" s="0" t="str">
        <f aca="false">IF(A60&lt;&gt;"",googlefinance(A60,"price"),"")</f>
        <v/>
      </c>
      <c r="I60" s="0" t="str">
        <f aca="false">IF(F60&lt;&gt;"",F60*H60,"")</f>
        <v/>
      </c>
      <c r="J60" s="0" t="str">
        <f aca="false">IF(F60&lt;&gt;"",F60*G60,"")</f>
        <v/>
      </c>
      <c r="K60" s="0" t="str">
        <f aca="false">IF(J60&lt;&gt;"",I60-J60,"")</f>
        <v/>
      </c>
      <c r="L60" s="0" t="str">
        <f aca="false">IF(AND(J60&lt;&gt;"",J60&lt;&gt;0),K60/J60,"")</f>
        <v/>
      </c>
      <c r="M60" s="0" t="str">
        <f aca="false">IF(I60&lt;&gt;"",IF(SUM($I$2:$I$100)&lt;&gt;0,I60/SUM($I$2:$I$100),""),"")</f>
        <v/>
      </c>
    </row>
    <row r="61" customFormat="false" ht="15" hidden="false" customHeight="false" outlineLevel="0" collapsed="false">
      <c r="H61" s="0" t="str">
        <f aca="false">IF(A61&lt;&gt;"",googlefinance(A61,"price"),"")</f>
        <v/>
      </c>
      <c r="I61" s="0" t="str">
        <f aca="false">IF(F61&lt;&gt;"",F61*H61,"")</f>
        <v/>
      </c>
      <c r="J61" s="0" t="str">
        <f aca="false">IF(F61&lt;&gt;"",F61*G61,"")</f>
        <v/>
      </c>
      <c r="K61" s="0" t="str">
        <f aca="false">IF(J61&lt;&gt;"",I61-J61,"")</f>
        <v/>
      </c>
      <c r="L61" s="0" t="str">
        <f aca="false">IF(AND(J61&lt;&gt;"",J61&lt;&gt;0),K61/J61,"")</f>
        <v/>
      </c>
      <c r="M61" s="0" t="str">
        <f aca="false">IF(I61&lt;&gt;"",IF(SUM($I$2:$I$100)&lt;&gt;0,I61/SUM($I$2:$I$100),""),"")</f>
        <v/>
      </c>
    </row>
    <row r="62" customFormat="false" ht="15" hidden="false" customHeight="false" outlineLevel="0" collapsed="false">
      <c r="H62" s="0" t="str">
        <f aca="false">IF(A62&lt;&gt;"",googlefinance(A62,"price"),"")</f>
        <v/>
      </c>
      <c r="I62" s="0" t="str">
        <f aca="false">IF(F62&lt;&gt;"",F62*H62,"")</f>
        <v/>
      </c>
      <c r="J62" s="0" t="str">
        <f aca="false">IF(F62&lt;&gt;"",F62*G62,"")</f>
        <v/>
      </c>
      <c r="K62" s="0" t="str">
        <f aca="false">IF(J62&lt;&gt;"",I62-J62,"")</f>
        <v/>
      </c>
      <c r="L62" s="0" t="str">
        <f aca="false">IF(AND(J62&lt;&gt;"",J62&lt;&gt;0),K62/J62,"")</f>
        <v/>
      </c>
      <c r="M62" s="0" t="str">
        <f aca="false">IF(I62&lt;&gt;"",IF(SUM($I$2:$I$100)&lt;&gt;0,I62/SUM($I$2:$I$100),""),"")</f>
        <v/>
      </c>
    </row>
    <row r="63" customFormat="false" ht="15" hidden="false" customHeight="false" outlineLevel="0" collapsed="false">
      <c r="H63" s="0" t="str">
        <f aca="false">IF(A63&lt;&gt;"",googlefinance(A63,"price"),"")</f>
        <v/>
      </c>
      <c r="I63" s="0" t="str">
        <f aca="false">IF(F63&lt;&gt;"",F63*H63,"")</f>
        <v/>
      </c>
      <c r="J63" s="0" t="str">
        <f aca="false">IF(F63&lt;&gt;"",F63*G63,"")</f>
        <v/>
      </c>
      <c r="K63" s="0" t="str">
        <f aca="false">IF(J63&lt;&gt;"",I63-J63,"")</f>
        <v/>
      </c>
      <c r="L63" s="0" t="str">
        <f aca="false">IF(AND(J63&lt;&gt;"",J63&lt;&gt;0),K63/J63,"")</f>
        <v/>
      </c>
      <c r="M63" s="0" t="str">
        <f aca="false">IF(I63&lt;&gt;"",IF(SUM($I$2:$I$100)&lt;&gt;0,I63/SUM($I$2:$I$100),""),"")</f>
        <v/>
      </c>
    </row>
    <row r="64" customFormat="false" ht="15" hidden="false" customHeight="false" outlineLevel="0" collapsed="false">
      <c r="H64" s="0" t="str">
        <f aca="false">IF(A64&lt;&gt;"",googlefinance(A64,"price"),"")</f>
        <v/>
      </c>
      <c r="I64" s="0" t="str">
        <f aca="false">IF(F64&lt;&gt;"",F64*H64,"")</f>
        <v/>
      </c>
      <c r="J64" s="0" t="str">
        <f aca="false">IF(F64&lt;&gt;"",F64*G64,"")</f>
        <v/>
      </c>
      <c r="K64" s="0" t="str">
        <f aca="false">IF(J64&lt;&gt;"",I64-J64,"")</f>
        <v/>
      </c>
      <c r="L64" s="0" t="str">
        <f aca="false">IF(AND(J64&lt;&gt;"",J64&lt;&gt;0),K64/J64,"")</f>
        <v/>
      </c>
      <c r="M64" s="0" t="str">
        <f aca="false">IF(I64&lt;&gt;"",IF(SUM($I$2:$I$100)&lt;&gt;0,I64/SUM($I$2:$I$100),""),"")</f>
        <v/>
      </c>
    </row>
    <row r="65" customFormat="false" ht="15" hidden="false" customHeight="false" outlineLevel="0" collapsed="false">
      <c r="H65" s="0" t="str">
        <f aca="false">IF(A65&lt;&gt;"",googlefinance(A65,"price"),"")</f>
        <v/>
      </c>
      <c r="I65" s="0" t="str">
        <f aca="false">IF(F65&lt;&gt;"",F65*H65,"")</f>
        <v/>
      </c>
      <c r="J65" s="0" t="str">
        <f aca="false">IF(F65&lt;&gt;"",F65*G65,"")</f>
        <v/>
      </c>
      <c r="K65" s="0" t="str">
        <f aca="false">IF(J65&lt;&gt;"",I65-J65,"")</f>
        <v/>
      </c>
      <c r="L65" s="0" t="str">
        <f aca="false">IF(AND(J65&lt;&gt;"",J65&lt;&gt;0),K65/J65,"")</f>
        <v/>
      </c>
      <c r="M65" s="0" t="str">
        <f aca="false">IF(I65&lt;&gt;"",IF(SUM($I$2:$I$100)&lt;&gt;0,I65/SUM($I$2:$I$100),""),"")</f>
        <v/>
      </c>
    </row>
    <row r="66" customFormat="false" ht="15" hidden="false" customHeight="false" outlineLevel="0" collapsed="false">
      <c r="H66" s="0" t="str">
        <f aca="false">IF(A66&lt;&gt;"",googlefinance(A66,"price"),"")</f>
        <v/>
      </c>
      <c r="I66" s="0" t="str">
        <f aca="false">IF(F66&lt;&gt;"",F66*H66,"")</f>
        <v/>
      </c>
      <c r="J66" s="0" t="str">
        <f aca="false">IF(F66&lt;&gt;"",F66*G66,"")</f>
        <v/>
      </c>
      <c r="K66" s="0" t="str">
        <f aca="false">IF(J66&lt;&gt;"",I66-J66,"")</f>
        <v/>
      </c>
      <c r="L66" s="0" t="str">
        <f aca="false">IF(AND(J66&lt;&gt;"",J66&lt;&gt;0),K66/J66,"")</f>
        <v/>
      </c>
      <c r="M66" s="0" t="str">
        <f aca="false">IF(I66&lt;&gt;"",IF(SUM($I$2:$I$100)&lt;&gt;0,I66/SUM($I$2:$I$100),""),"")</f>
        <v/>
      </c>
    </row>
    <row r="67" customFormat="false" ht="15" hidden="false" customHeight="false" outlineLevel="0" collapsed="false">
      <c r="H67" s="0" t="str">
        <f aca="false">IF(A67&lt;&gt;"",googlefinance(A67,"price"),"")</f>
        <v/>
      </c>
      <c r="I67" s="0" t="str">
        <f aca="false">IF(F67&lt;&gt;"",F67*H67,"")</f>
        <v/>
      </c>
      <c r="J67" s="0" t="str">
        <f aca="false">IF(F67&lt;&gt;"",F67*G67,"")</f>
        <v/>
      </c>
      <c r="K67" s="0" t="str">
        <f aca="false">IF(J67&lt;&gt;"",I67-J67,"")</f>
        <v/>
      </c>
      <c r="L67" s="0" t="str">
        <f aca="false">IF(AND(J67&lt;&gt;"",J67&lt;&gt;0),K67/J67,"")</f>
        <v/>
      </c>
      <c r="M67" s="0" t="str">
        <f aca="false">IF(I67&lt;&gt;"",IF(SUM($I$2:$I$100)&lt;&gt;0,I67/SUM($I$2:$I$100),""),"")</f>
        <v/>
      </c>
    </row>
    <row r="68" customFormat="false" ht="15" hidden="false" customHeight="false" outlineLevel="0" collapsed="false">
      <c r="H68" s="0" t="str">
        <f aca="false">IF(A68&lt;&gt;"",googlefinance(A68,"price"),"")</f>
        <v/>
      </c>
      <c r="I68" s="0" t="str">
        <f aca="false">IF(F68&lt;&gt;"",F68*H68,"")</f>
        <v/>
      </c>
      <c r="J68" s="0" t="str">
        <f aca="false">IF(F68&lt;&gt;"",F68*G68,"")</f>
        <v/>
      </c>
      <c r="K68" s="0" t="str">
        <f aca="false">IF(J68&lt;&gt;"",I68-J68,"")</f>
        <v/>
      </c>
      <c r="L68" s="0" t="str">
        <f aca="false">IF(AND(J68&lt;&gt;"",J68&lt;&gt;0),K68/J68,"")</f>
        <v/>
      </c>
      <c r="M68" s="0" t="str">
        <f aca="false">IF(I68&lt;&gt;"",IF(SUM($I$2:$I$100)&lt;&gt;0,I68/SUM($I$2:$I$100),""),"")</f>
        <v/>
      </c>
    </row>
    <row r="69" customFormat="false" ht="15" hidden="false" customHeight="false" outlineLevel="0" collapsed="false">
      <c r="H69" s="0" t="str">
        <f aca="false">IF(A69&lt;&gt;"",googlefinance(A69,"price"),"")</f>
        <v/>
      </c>
      <c r="I69" s="0" t="str">
        <f aca="false">IF(F69&lt;&gt;"",F69*H69,"")</f>
        <v/>
      </c>
      <c r="J69" s="0" t="str">
        <f aca="false">IF(F69&lt;&gt;"",F69*G69,"")</f>
        <v/>
      </c>
      <c r="K69" s="0" t="str">
        <f aca="false">IF(J69&lt;&gt;"",I69-J69,"")</f>
        <v/>
      </c>
      <c r="L69" s="0" t="str">
        <f aca="false">IF(AND(J69&lt;&gt;"",J69&lt;&gt;0),K69/J69,"")</f>
        <v/>
      </c>
      <c r="M69" s="0" t="str">
        <f aca="false">IF(I69&lt;&gt;"",IF(SUM($I$2:$I$100)&lt;&gt;0,I69/SUM($I$2:$I$100),""),"")</f>
        <v/>
      </c>
    </row>
    <row r="70" customFormat="false" ht="15" hidden="false" customHeight="false" outlineLevel="0" collapsed="false">
      <c r="H70" s="0" t="str">
        <f aca="false">IF(A70&lt;&gt;"",googlefinance(A70,"price"),"")</f>
        <v/>
      </c>
      <c r="I70" s="0" t="str">
        <f aca="false">IF(F70&lt;&gt;"",F70*H70,"")</f>
        <v/>
      </c>
      <c r="J70" s="0" t="str">
        <f aca="false">IF(F70&lt;&gt;"",F70*G70,"")</f>
        <v/>
      </c>
      <c r="K70" s="0" t="str">
        <f aca="false">IF(J70&lt;&gt;"",I70-J70,"")</f>
        <v/>
      </c>
      <c r="L70" s="0" t="str">
        <f aca="false">IF(AND(J70&lt;&gt;"",J70&lt;&gt;0),K70/J70,"")</f>
        <v/>
      </c>
      <c r="M70" s="0" t="str">
        <f aca="false">IF(I70&lt;&gt;"",IF(SUM($I$2:$I$100)&lt;&gt;0,I70/SUM($I$2:$I$100),""),"")</f>
        <v/>
      </c>
    </row>
    <row r="71" customFormat="false" ht="15" hidden="false" customHeight="false" outlineLevel="0" collapsed="false">
      <c r="H71" s="0" t="str">
        <f aca="false">IF(A71&lt;&gt;"",googlefinance(A71,"price"),"")</f>
        <v/>
      </c>
      <c r="I71" s="0" t="str">
        <f aca="false">IF(F71&lt;&gt;"",F71*H71,"")</f>
        <v/>
      </c>
      <c r="J71" s="0" t="str">
        <f aca="false">IF(F71&lt;&gt;"",F71*G71,"")</f>
        <v/>
      </c>
      <c r="K71" s="0" t="str">
        <f aca="false">IF(J71&lt;&gt;"",I71-J71,"")</f>
        <v/>
      </c>
      <c r="L71" s="0" t="str">
        <f aca="false">IF(AND(J71&lt;&gt;"",J71&lt;&gt;0),K71/J71,"")</f>
        <v/>
      </c>
      <c r="M71" s="0" t="str">
        <f aca="false">IF(I71&lt;&gt;"",IF(SUM($I$2:$I$100)&lt;&gt;0,I71/SUM($I$2:$I$100),""),"")</f>
        <v/>
      </c>
    </row>
    <row r="72" customFormat="false" ht="15" hidden="false" customHeight="false" outlineLevel="0" collapsed="false">
      <c r="H72" s="0" t="str">
        <f aca="false">IF(A72&lt;&gt;"",googlefinance(A72,"price"),"")</f>
        <v/>
      </c>
      <c r="I72" s="0" t="str">
        <f aca="false">IF(F72&lt;&gt;"",F72*H72,"")</f>
        <v/>
      </c>
      <c r="J72" s="0" t="str">
        <f aca="false">IF(F72&lt;&gt;"",F72*G72,"")</f>
        <v/>
      </c>
      <c r="K72" s="0" t="str">
        <f aca="false">IF(J72&lt;&gt;"",I72-J72,"")</f>
        <v/>
      </c>
      <c r="L72" s="0" t="str">
        <f aca="false">IF(AND(J72&lt;&gt;"",J72&lt;&gt;0),K72/J72,"")</f>
        <v/>
      </c>
      <c r="M72" s="0" t="str">
        <f aca="false">IF(I72&lt;&gt;"",IF(SUM($I$2:$I$100)&lt;&gt;0,I72/SUM($I$2:$I$100),""),"")</f>
        <v/>
      </c>
    </row>
    <row r="73" customFormat="false" ht="15" hidden="false" customHeight="false" outlineLevel="0" collapsed="false">
      <c r="H73" s="0" t="str">
        <f aca="false">IF(A73&lt;&gt;"",googlefinance(A73,"price"),"")</f>
        <v/>
      </c>
      <c r="I73" s="0" t="str">
        <f aca="false">IF(F73&lt;&gt;"",F73*H73,"")</f>
        <v/>
      </c>
      <c r="J73" s="0" t="str">
        <f aca="false">IF(F73&lt;&gt;"",F73*G73,"")</f>
        <v/>
      </c>
      <c r="K73" s="0" t="str">
        <f aca="false">IF(J73&lt;&gt;"",I73-J73,"")</f>
        <v/>
      </c>
      <c r="L73" s="0" t="str">
        <f aca="false">IF(AND(J73&lt;&gt;"",J73&lt;&gt;0),K73/J73,"")</f>
        <v/>
      </c>
      <c r="M73" s="0" t="str">
        <f aca="false">IF(I73&lt;&gt;"",IF(SUM($I$2:$I$100)&lt;&gt;0,I73/SUM($I$2:$I$100),""),"")</f>
        <v/>
      </c>
    </row>
    <row r="74" customFormat="false" ht="15" hidden="false" customHeight="false" outlineLevel="0" collapsed="false">
      <c r="H74" s="0" t="str">
        <f aca="false">IF(A74&lt;&gt;"",googlefinance(A74,"price"),"")</f>
        <v/>
      </c>
      <c r="I74" s="0" t="str">
        <f aca="false">IF(F74&lt;&gt;"",F74*H74,"")</f>
        <v/>
      </c>
      <c r="J74" s="0" t="str">
        <f aca="false">IF(F74&lt;&gt;"",F74*G74,"")</f>
        <v/>
      </c>
      <c r="K74" s="0" t="str">
        <f aca="false">IF(J74&lt;&gt;"",I74-J74,"")</f>
        <v/>
      </c>
      <c r="L74" s="0" t="str">
        <f aca="false">IF(AND(J74&lt;&gt;"",J74&lt;&gt;0),K74/J74,"")</f>
        <v/>
      </c>
      <c r="M74" s="0" t="str">
        <f aca="false">IF(I74&lt;&gt;"",IF(SUM($I$2:$I$100)&lt;&gt;0,I74/SUM($I$2:$I$100),""),"")</f>
        <v/>
      </c>
    </row>
    <row r="75" customFormat="false" ht="15" hidden="false" customHeight="false" outlineLevel="0" collapsed="false">
      <c r="H75" s="0" t="str">
        <f aca="false">IF(A75&lt;&gt;"",googlefinance(A75,"price"),"")</f>
        <v/>
      </c>
      <c r="I75" s="0" t="str">
        <f aca="false">IF(F75&lt;&gt;"",F75*H75,"")</f>
        <v/>
      </c>
      <c r="J75" s="0" t="str">
        <f aca="false">IF(F75&lt;&gt;"",F75*G75,"")</f>
        <v/>
      </c>
      <c r="K75" s="0" t="str">
        <f aca="false">IF(J75&lt;&gt;"",I75-J75,"")</f>
        <v/>
      </c>
      <c r="L75" s="0" t="str">
        <f aca="false">IF(AND(J75&lt;&gt;"",J75&lt;&gt;0),K75/J75,"")</f>
        <v/>
      </c>
      <c r="M75" s="0" t="str">
        <f aca="false">IF(I75&lt;&gt;"",IF(SUM($I$2:$I$100)&lt;&gt;0,I75/SUM($I$2:$I$100),""),"")</f>
        <v/>
      </c>
    </row>
    <row r="76" customFormat="false" ht="15" hidden="false" customHeight="false" outlineLevel="0" collapsed="false">
      <c r="H76" s="0" t="str">
        <f aca="false">IF(A76&lt;&gt;"",googlefinance(A76,"price"),"")</f>
        <v/>
      </c>
      <c r="I76" s="0" t="str">
        <f aca="false">IF(F76&lt;&gt;"",F76*H76,"")</f>
        <v/>
      </c>
      <c r="J76" s="0" t="str">
        <f aca="false">IF(F76&lt;&gt;"",F76*G76,"")</f>
        <v/>
      </c>
      <c r="K76" s="0" t="str">
        <f aca="false">IF(J76&lt;&gt;"",I76-J76,"")</f>
        <v/>
      </c>
      <c r="L76" s="0" t="str">
        <f aca="false">IF(AND(J76&lt;&gt;"",J76&lt;&gt;0),K76/J76,"")</f>
        <v/>
      </c>
      <c r="M76" s="0" t="str">
        <f aca="false">IF(I76&lt;&gt;"",IF(SUM($I$2:$I$100)&lt;&gt;0,I76/SUM($I$2:$I$100),""),"")</f>
        <v/>
      </c>
    </row>
    <row r="77" customFormat="false" ht="15" hidden="false" customHeight="false" outlineLevel="0" collapsed="false">
      <c r="H77" s="0" t="str">
        <f aca="false">IF(A77&lt;&gt;"",googlefinance(A77,"price"),"")</f>
        <v/>
      </c>
      <c r="I77" s="0" t="str">
        <f aca="false">IF(F77&lt;&gt;"",F77*H77,"")</f>
        <v/>
      </c>
      <c r="J77" s="0" t="str">
        <f aca="false">IF(F77&lt;&gt;"",F77*G77,"")</f>
        <v/>
      </c>
      <c r="K77" s="0" t="str">
        <f aca="false">IF(J77&lt;&gt;"",I77-J77,"")</f>
        <v/>
      </c>
      <c r="L77" s="0" t="str">
        <f aca="false">IF(AND(J77&lt;&gt;"",J77&lt;&gt;0),K77/J77,"")</f>
        <v/>
      </c>
      <c r="M77" s="0" t="str">
        <f aca="false">IF(I77&lt;&gt;"",IF(SUM($I$2:$I$100)&lt;&gt;0,I77/SUM($I$2:$I$100),""),"")</f>
        <v/>
      </c>
    </row>
    <row r="78" customFormat="false" ht="15" hidden="false" customHeight="false" outlineLevel="0" collapsed="false">
      <c r="H78" s="0" t="str">
        <f aca="false">IF(A78&lt;&gt;"",googlefinance(A78,"price"),"")</f>
        <v/>
      </c>
      <c r="I78" s="0" t="str">
        <f aca="false">IF(F78&lt;&gt;"",F78*H78,"")</f>
        <v/>
      </c>
      <c r="J78" s="0" t="str">
        <f aca="false">IF(F78&lt;&gt;"",F78*G78,"")</f>
        <v/>
      </c>
      <c r="K78" s="0" t="str">
        <f aca="false">IF(J78&lt;&gt;"",I78-J78,"")</f>
        <v/>
      </c>
      <c r="L78" s="0" t="str">
        <f aca="false">IF(AND(J78&lt;&gt;"",J78&lt;&gt;0),K78/J78,"")</f>
        <v/>
      </c>
      <c r="M78" s="0" t="str">
        <f aca="false">IF(I78&lt;&gt;"",IF(SUM($I$2:$I$100)&lt;&gt;0,I78/SUM($I$2:$I$100),""),"")</f>
        <v/>
      </c>
    </row>
    <row r="79" customFormat="false" ht="15" hidden="false" customHeight="false" outlineLevel="0" collapsed="false">
      <c r="H79" s="0" t="str">
        <f aca="false">IF(A79&lt;&gt;"",googlefinance(A79,"price"),"")</f>
        <v/>
      </c>
      <c r="I79" s="0" t="str">
        <f aca="false">IF(F79&lt;&gt;"",F79*H79,"")</f>
        <v/>
      </c>
      <c r="J79" s="0" t="str">
        <f aca="false">IF(F79&lt;&gt;"",F79*G79,"")</f>
        <v/>
      </c>
      <c r="K79" s="0" t="str">
        <f aca="false">IF(J79&lt;&gt;"",I79-J79,"")</f>
        <v/>
      </c>
      <c r="L79" s="0" t="str">
        <f aca="false">IF(AND(J79&lt;&gt;"",J79&lt;&gt;0),K79/J79,"")</f>
        <v/>
      </c>
      <c r="M79" s="0" t="str">
        <f aca="false">IF(I79&lt;&gt;"",IF(SUM($I$2:$I$100)&lt;&gt;0,I79/SUM($I$2:$I$100),""),"")</f>
        <v/>
      </c>
    </row>
    <row r="80" customFormat="false" ht="15" hidden="false" customHeight="false" outlineLevel="0" collapsed="false">
      <c r="H80" s="0" t="str">
        <f aca="false">IF(A80&lt;&gt;"",googlefinance(A80,"price"),"")</f>
        <v/>
      </c>
      <c r="I80" s="0" t="str">
        <f aca="false">IF(F80&lt;&gt;"",F80*H80,"")</f>
        <v/>
      </c>
      <c r="J80" s="0" t="str">
        <f aca="false">IF(F80&lt;&gt;"",F80*G80,"")</f>
        <v/>
      </c>
      <c r="K80" s="0" t="str">
        <f aca="false">IF(J80&lt;&gt;"",I80-J80,"")</f>
        <v/>
      </c>
      <c r="L80" s="0" t="str">
        <f aca="false">IF(AND(J80&lt;&gt;"",J80&lt;&gt;0),K80/J80,"")</f>
        <v/>
      </c>
      <c r="M80" s="0" t="str">
        <f aca="false">IF(I80&lt;&gt;"",IF(SUM($I$2:$I$100)&lt;&gt;0,I80/SUM($I$2:$I$100),""),"")</f>
        <v/>
      </c>
    </row>
    <row r="81" customFormat="false" ht="15" hidden="false" customHeight="false" outlineLevel="0" collapsed="false">
      <c r="H81" s="0" t="str">
        <f aca="false">IF(A81&lt;&gt;"",googlefinance(A81,"price"),"")</f>
        <v/>
      </c>
      <c r="I81" s="0" t="str">
        <f aca="false">IF(F81&lt;&gt;"",F81*H81,"")</f>
        <v/>
      </c>
      <c r="J81" s="0" t="str">
        <f aca="false">IF(F81&lt;&gt;"",F81*G81,"")</f>
        <v/>
      </c>
      <c r="K81" s="0" t="str">
        <f aca="false">IF(J81&lt;&gt;"",I81-J81,"")</f>
        <v/>
      </c>
      <c r="L81" s="0" t="str">
        <f aca="false">IF(AND(J81&lt;&gt;"",J81&lt;&gt;0),K81/J81,"")</f>
        <v/>
      </c>
      <c r="M81" s="0" t="str">
        <f aca="false">IF(I81&lt;&gt;"",IF(SUM($I$2:$I$100)&lt;&gt;0,I81/SUM($I$2:$I$100),""),"")</f>
        <v/>
      </c>
    </row>
    <row r="82" customFormat="false" ht="15" hidden="false" customHeight="false" outlineLevel="0" collapsed="false">
      <c r="H82" s="0" t="str">
        <f aca="false">IF(A82&lt;&gt;"",googlefinance(A82,"price"),"")</f>
        <v/>
      </c>
      <c r="I82" s="0" t="str">
        <f aca="false">IF(F82&lt;&gt;"",F82*H82,"")</f>
        <v/>
      </c>
      <c r="J82" s="0" t="str">
        <f aca="false">IF(F82&lt;&gt;"",F82*G82,"")</f>
        <v/>
      </c>
      <c r="K82" s="0" t="str">
        <f aca="false">IF(J82&lt;&gt;"",I82-J82,"")</f>
        <v/>
      </c>
      <c r="L82" s="0" t="str">
        <f aca="false">IF(AND(J82&lt;&gt;"",J82&lt;&gt;0),K82/J82,"")</f>
        <v/>
      </c>
      <c r="M82" s="0" t="str">
        <f aca="false">IF(I82&lt;&gt;"",IF(SUM($I$2:$I$100)&lt;&gt;0,I82/SUM($I$2:$I$100),""),"")</f>
        <v/>
      </c>
    </row>
    <row r="83" customFormat="false" ht="15" hidden="false" customHeight="false" outlineLevel="0" collapsed="false">
      <c r="H83" s="0" t="str">
        <f aca="false">IF(A83&lt;&gt;"",googlefinance(A83,"price"),"")</f>
        <v/>
      </c>
      <c r="I83" s="0" t="str">
        <f aca="false">IF(F83&lt;&gt;"",F83*H83,"")</f>
        <v/>
      </c>
      <c r="J83" s="0" t="str">
        <f aca="false">IF(F83&lt;&gt;"",F83*G83,"")</f>
        <v/>
      </c>
      <c r="K83" s="0" t="str">
        <f aca="false">IF(J83&lt;&gt;"",I83-J83,"")</f>
        <v/>
      </c>
      <c r="L83" s="0" t="str">
        <f aca="false">IF(AND(J83&lt;&gt;"",J83&lt;&gt;0),K83/J83,"")</f>
        <v/>
      </c>
      <c r="M83" s="0" t="str">
        <f aca="false">IF(I83&lt;&gt;"",IF(SUM($I$2:$I$100)&lt;&gt;0,I83/SUM($I$2:$I$100),""),"")</f>
        <v/>
      </c>
    </row>
    <row r="84" customFormat="false" ht="15" hidden="false" customHeight="false" outlineLevel="0" collapsed="false">
      <c r="H84" s="0" t="str">
        <f aca="false">IF(A84&lt;&gt;"",googlefinance(A84,"price"),"")</f>
        <v/>
      </c>
      <c r="I84" s="0" t="str">
        <f aca="false">IF(F84&lt;&gt;"",F84*H84,"")</f>
        <v/>
      </c>
      <c r="J84" s="0" t="str">
        <f aca="false">IF(F84&lt;&gt;"",F84*G84,"")</f>
        <v/>
      </c>
      <c r="K84" s="0" t="str">
        <f aca="false">IF(J84&lt;&gt;"",I84-J84,"")</f>
        <v/>
      </c>
      <c r="L84" s="0" t="str">
        <f aca="false">IF(AND(J84&lt;&gt;"",J84&lt;&gt;0),K84/J84,"")</f>
        <v/>
      </c>
      <c r="M84" s="0" t="str">
        <f aca="false">IF(I84&lt;&gt;"",IF(SUM($I$2:$I$100)&lt;&gt;0,I84/SUM($I$2:$I$100),""),"")</f>
        <v/>
      </c>
    </row>
    <row r="85" customFormat="false" ht="15" hidden="false" customHeight="false" outlineLevel="0" collapsed="false">
      <c r="H85" s="0" t="str">
        <f aca="false">IF(A85&lt;&gt;"",googlefinance(A85,"price"),"")</f>
        <v/>
      </c>
      <c r="I85" s="0" t="str">
        <f aca="false">IF(F85&lt;&gt;"",F85*H85,"")</f>
        <v/>
      </c>
      <c r="J85" s="0" t="str">
        <f aca="false">IF(F85&lt;&gt;"",F85*G85,"")</f>
        <v/>
      </c>
      <c r="K85" s="0" t="str">
        <f aca="false">IF(J85&lt;&gt;"",I85-J85,"")</f>
        <v/>
      </c>
      <c r="L85" s="0" t="str">
        <f aca="false">IF(AND(J85&lt;&gt;"",J85&lt;&gt;0),K85/J85,"")</f>
        <v/>
      </c>
      <c r="M85" s="0" t="str">
        <f aca="false">IF(I85&lt;&gt;"",IF(SUM($I$2:$I$100)&lt;&gt;0,I85/SUM($I$2:$I$100),""),"")</f>
        <v/>
      </c>
    </row>
    <row r="86" customFormat="false" ht="15" hidden="false" customHeight="false" outlineLevel="0" collapsed="false">
      <c r="H86" s="0" t="str">
        <f aca="false">IF(A86&lt;&gt;"",googlefinance(A86,"price"),"")</f>
        <v/>
      </c>
      <c r="I86" s="0" t="str">
        <f aca="false">IF(F86&lt;&gt;"",F86*H86,"")</f>
        <v/>
      </c>
      <c r="J86" s="0" t="str">
        <f aca="false">IF(F86&lt;&gt;"",F86*G86,"")</f>
        <v/>
      </c>
      <c r="K86" s="0" t="str">
        <f aca="false">IF(J86&lt;&gt;"",I86-J86,"")</f>
        <v/>
      </c>
      <c r="L86" s="0" t="str">
        <f aca="false">IF(AND(J86&lt;&gt;"",J86&lt;&gt;0),K86/J86,"")</f>
        <v/>
      </c>
      <c r="M86" s="0" t="str">
        <f aca="false">IF(I86&lt;&gt;"",IF(SUM($I$2:$I$100)&lt;&gt;0,I86/SUM($I$2:$I$100),""),"")</f>
        <v/>
      </c>
    </row>
    <row r="87" customFormat="false" ht="15" hidden="false" customHeight="false" outlineLevel="0" collapsed="false">
      <c r="H87" s="0" t="str">
        <f aca="false">IF(A87&lt;&gt;"",googlefinance(A87,"price"),"")</f>
        <v/>
      </c>
      <c r="I87" s="0" t="str">
        <f aca="false">IF(F87&lt;&gt;"",F87*H87,"")</f>
        <v/>
      </c>
      <c r="J87" s="0" t="str">
        <f aca="false">IF(F87&lt;&gt;"",F87*G87,"")</f>
        <v/>
      </c>
      <c r="K87" s="0" t="str">
        <f aca="false">IF(J87&lt;&gt;"",I87-J87,"")</f>
        <v/>
      </c>
      <c r="L87" s="0" t="str">
        <f aca="false">IF(AND(J87&lt;&gt;"",J87&lt;&gt;0),K87/J87,"")</f>
        <v/>
      </c>
      <c r="M87" s="0" t="str">
        <f aca="false">IF(I87&lt;&gt;"",IF(SUM($I$2:$I$100)&lt;&gt;0,I87/SUM($I$2:$I$100),""),"")</f>
        <v/>
      </c>
    </row>
    <row r="88" customFormat="false" ht="15" hidden="false" customHeight="false" outlineLevel="0" collapsed="false">
      <c r="H88" s="0" t="str">
        <f aca="false">IF(A88&lt;&gt;"",googlefinance(A88,"price"),"")</f>
        <v/>
      </c>
      <c r="I88" s="0" t="str">
        <f aca="false">IF(F88&lt;&gt;"",F88*H88,"")</f>
        <v/>
      </c>
      <c r="J88" s="0" t="str">
        <f aca="false">IF(F88&lt;&gt;"",F88*G88,"")</f>
        <v/>
      </c>
      <c r="K88" s="0" t="str">
        <f aca="false">IF(J88&lt;&gt;"",I88-J88,"")</f>
        <v/>
      </c>
      <c r="L88" s="0" t="str">
        <f aca="false">IF(AND(J88&lt;&gt;"",J88&lt;&gt;0),K88/J88,"")</f>
        <v/>
      </c>
      <c r="M88" s="0" t="str">
        <f aca="false">IF(I88&lt;&gt;"",IF(SUM($I$2:$I$100)&lt;&gt;0,I88/SUM($I$2:$I$100),""),"")</f>
        <v/>
      </c>
    </row>
    <row r="89" customFormat="false" ht="15" hidden="false" customHeight="false" outlineLevel="0" collapsed="false">
      <c r="H89" s="0" t="str">
        <f aca="false">IF(A89&lt;&gt;"",googlefinance(A89,"price"),"")</f>
        <v/>
      </c>
      <c r="I89" s="0" t="str">
        <f aca="false">IF(F89&lt;&gt;"",F89*H89,"")</f>
        <v/>
      </c>
      <c r="J89" s="0" t="str">
        <f aca="false">IF(F89&lt;&gt;"",F89*G89,"")</f>
        <v/>
      </c>
      <c r="K89" s="0" t="str">
        <f aca="false">IF(J89&lt;&gt;"",I89-J89,"")</f>
        <v/>
      </c>
      <c r="L89" s="0" t="str">
        <f aca="false">IF(AND(J89&lt;&gt;"",J89&lt;&gt;0),K89/J89,"")</f>
        <v/>
      </c>
      <c r="M89" s="0" t="str">
        <f aca="false">IF(I89&lt;&gt;"",IF(SUM($I$2:$I$100)&lt;&gt;0,I89/SUM($I$2:$I$100),""),"")</f>
        <v/>
      </c>
    </row>
    <row r="90" customFormat="false" ht="15" hidden="false" customHeight="false" outlineLevel="0" collapsed="false">
      <c r="H90" s="0" t="str">
        <f aca="false">IF(A90&lt;&gt;"",googlefinance(A90,"price"),"")</f>
        <v/>
      </c>
      <c r="I90" s="0" t="str">
        <f aca="false">IF(F90&lt;&gt;"",F90*H90,"")</f>
        <v/>
      </c>
      <c r="J90" s="0" t="str">
        <f aca="false">IF(F90&lt;&gt;"",F90*G90,"")</f>
        <v/>
      </c>
      <c r="K90" s="0" t="str">
        <f aca="false">IF(J90&lt;&gt;"",I90-J90,"")</f>
        <v/>
      </c>
      <c r="L90" s="0" t="str">
        <f aca="false">IF(AND(J90&lt;&gt;"",J90&lt;&gt;0),K90/J90,"")</f>
        <v/>
      </c>
      <c r="M90" s="0" t="str">
        <f aca="false">IF(I90&lt;&gt;"",IF(SUM($I$2:$I$100)&lt;&gt;0,I90/SUM($I$2:$I$100),""),"")</f>
        <v/>
      </c>
    </row>
    <row r="91" customFormat="false" ht="15" hidden="false" customHeight="false" outlineLevel="0" collapsed="false">
      <c r="H91" s="0" t="str">
        <f aca="false">IF(A91&lt;&gt;"",googlefinance(A91,"price"),"")</f>
        <v/>
      </c>
      <c r="I91" s="0" t="str">
        <f aca="false">IF(F91&lt;&gt;"",F91*H91,"")</f>
        <v/>
      </c>
      <c r="J91" s="0" t="str">
        <f aca="false">IF(F91&lt;&gt;"",F91*G91,"")</f>
        <v/>
      </c>
      <c r="K91" s="0" t="str">
        <f aca="false">IF(J91&lt;&gt;"",I91-J91,"")</f>
        <v/>
      </c>
      <c r="L91" s="0" t="str">
        <f aca="false">IF(AND(J91&lt;&gt;"",J91&lt;&gt;0),K91/J91,"")</f>
        <v/>
      </c>
      <c r="M91" s="0" t="str">
        <f aca="false">IF(I91&lt;&gt;"",IF(SUM($I$2:$I$100)&lt;&gt;0,I91/SUM($I$2:$I$100),""),"")</f>
        <v/>
      </c>
    </row>
    <row r="92" customFormat="false" ht="15" hidden="false" customHeight="false" outlineLevel="0" collapsed="false">
      <c r="H92" s="0" t="str">
        <f aca="false">IF(A92&lt;&gt;"",googlefinance(A92,"price"),"")</f>
        <v/>
      </c>
      <c r="I92" s="0" t="str">
        <f aca="false">IF(F92&lt;&gt;"",F92*H92,"")</f>
        <v/>
      </c>
      <c r="J92" s="0" t="str">
        <f aca="false">IF(F92&lt;&gt;"",F92*G92,"")</f>
        <v/>
      </c>
      <c r="K92" s="0" t="str">
        <f aca="false">IF(J92&lt;&gt;"",I92-J92,"")</f>
        <v/>
      </c>
      <c r="L92" s="0" t="str">
        <f aca="false">IF(AND(J92&lt;&gt;"",J92&lt;&gt;0),K92/J92,"")</f>
        <v/>
      </c>
      <c r="M92" s="0" t="str">
        <f aca="false">IF(I92&lt;&gt;"",IF(SUM($I$2:$I$100)&lt;&gt;0,I92/SUM($I$2:$I$100),""),"")</f>
        <v/>
      </c>
    </row>
    <row r="93" customFormat="false" ht="15" hidden="false" customHeight="false" outlineLevel="0" collapsed="false">
      <c r="H93" s="0" t="str">
        <f aca="false">IF(A93&lt;&gt;"",googlefinance(A93,"price"),"")</f>
        <v/>
      </c>
      <c r="I93" s="0" t="str">
        <f aca="false">IF(F93&lt;&gt;"",F93*H93,"")</f>
        <v/>
      </c>
      <c r="J93" s="0" t="str">
        <f aca="false">IF(F93&lt;&gt;"",F93*G93,"")</f>
        <v/>
      </c>
      <c r="K93" s="0" t="str">
        <f aca="false">IF(J93&lt;&gt;"",I93-J93,"")</f>
        <v/>
      </c>
      <c r="L93" s="0" t="str">
        <f aca="false">IF(AND(J93&lt;&gt;"",J93&lt;&gt;0),K93/J93,"")</f>
        <v/>
      </c>
      <c r="M93" s="0" t="str">
        <f aca="false">IF(I93&lt;&gt;"",IF(SUM($I$2:$I$100)&lt;&gt;0,I93/SUM($I$2:$I$100),""),"")</f>
        <v/>
      </c>
    </row>
    <row r="94" customFormat="false" ht="15" hidden="false" customHeight="false" outlineLevel="0" collapsed="false">
      <c r="H94" s="0" t="str">
        <f aca="false">IF(A94&lt;&gt;"",googlefinance(A94,"price"),"")</f>
        <v/>
      </c>
      <c r="I94" s="0" t="str">
        <f aca="false">IF(F94&lt;&gt;"",F94*H94,"")</f>
        <v/>
      </c>
      <c r="J94" s="0" t="str">
        <f aca="false">IF(F94&lt;&gt;"",F94*G94,"")</f>
        <v/>
      </c>
      <c r="K94" s="0" t="str">
        <f aca="false">IF(J94&lt;&gt;"",I94-J94,"")</f>
        <v/>
      </c>
      <c r="L94" s="0" t="str">
        <f aca="false">IF(AND(J94&lt;&gt;"",J94&lt;&gt;0),K94/J94,"")</f>
        <v/>
      </c>
      <c r="M94" s="0" t="str">
        <f aca="false">IF(I94&lt;&gt;"",IF(SUM($I$2:$I$100)&lt;&gt;0,I94/SUM($I$2:$I$100),""),"")</f>
        <v/>
      </c>
    </row>
    <row r="95" customFormat="false" ht="15" hidden="false" customHeight="false" outlineLevel="0" collapsed="false">
      <c r="H95" s="0" t="str">
        <f aca="false">IF(A95&lt;&gt;"",googlefinance(A95,"price"),"")</f>
        <v/>
      </c>
      <c r="I95" s="0" t="str">
        <f aca="false">IF(F95&lt;&gt;"",F95*H95,"")</f>
        <v/>
      </c>
      <c r="J95" s="0" t="str">
        <f aca="false">IF(F95&lt;&gt;"",F95*G95,"")</f>
        <v/>
      </c>
      <c r="K95" s="0" t="str">
        <f aca="false">IF(J95&lt;&gt;"",I95-J95,"")</f>
        <v/>
      </c>
      <c r="L95" s="0" t="str">
        <f aca="false">IF(AND(J95&lt;&gt;"",J95&lt;&gt;0),K95/J95,"")</f>
        <v/>
      </c>
      <c r="M95" s="0" t="str">
        <f aca="false">IF(I95&lt;&gt;"",IF(SUM($I$2:$I$100)&lt;&gt;0,I95/SUM($I$2:$I$100),""),"")</f>
        <v/>
      </c>
    </row>
    <row r="96" customFormat="false" ht="15" hidden="false" customHeight="false" outlineLevel="0" collapsed="false">
      <c r="H96" s="0" t="str">
        <f aca="false">IF(A96&lt;&gt;"",googlefinance(A96,"price"),"")</f>
        <v/>
      </c>
      <c r="I96" s="0" t="str">
        <f aca="false">IF(F96&lt;&gt;"",F96*H96,"")</f>
        <v/>
      </c>
      <c r="J96" s="0" t="str">
        <f aca="false">IF(F96&lt;&gt;"",F96*G96,"")</f>
        <v/>
      </c>
      <c r="K96" s="0" t="str">
        <f aca="false">IF(J96&lt;&gt;"",I96-J96,"")</f>
        <v/>
      </c>
      <c r="L96" s="0" t="str">
        <f aca="false">IF(AND(J96&lt;&gt;"",J96&lt;&gt;0),K96/J96,"")</f>
        <v/>
      </c>
      <c r="M96" s="0" t="str">
        <f aca="false">IF(I96&lt;&gt;"",IF(SUM($I$2:$I$100)&lt;&gt;0,I96/SUM($I$2:$I$100),""),"")</f>
        <v/>
      </c>
    </row>
    <row r="97" customFormat="false" ht="15" hidden="false" customHeight="false" outlineLevel="0" collapsed="false">
      <c r="H97" s="0" t="str">
        <f aca="false">IF(A97&lt;&gt;"",googlefinance(A97,"price"),"")</f>
        <v/>
      </c>
      <c r="I97" s="0" t="str">
        <f aca="false">IF(F97&lt;&gt;"",F97*H97,"")</f>
        <v/>
      </c>
      <c r="J97" s="0" t="str">
        <f aca="false">IF(F97&lt;&gt;"",F97*G97,"")</f>
        <v/>
      </c>
      <c r="K97" s="0" t="str">
        <f aca="false">IF(J97&lt;&gt;"",I97-J97,"")</f>
        <v/>
      </c>
      <c r="L97" s="0" t="str">
        <f aca="false">IF(AND(J97&lt;&gt;"",J97&lt;&gt;0),K97/J97,"")</f>
        <v/>
      </c>
      <c r="M97" s="0" t="str">
        <f aca="false">IF(I97&lt;&gt;"",IF(SUM($I$2:$I$100)&lt;&gt;0,I97/SUM($I$2:$I$100),""),"")</f>
        <v/>
      </c>
    </row>
    <row r="98" customFormat="false" ht="15" hidden="false" customHeight="false" outlineLevel="0" collapsed="false">
      <c r="H98" s="0" t="str">
        <f aca="false">IF(A98&lt;&gt;"",googlefinance(A98,"price"),"")</f>
        <v/>
      </c>
      <c r="I98" s="0" t="str">
        <f aca="false">IF(F98&lt;&gt;"",F98*H98,"")</f>
        <v/>
      </c>
      <c r="J98" s="0" t="str">
        <f aca="false">IF(F98&lt;&gt;"",F98*G98,"")</f>
        <v/>
      </c>
      <c r="K98" s="0" t="str">
        <f aca="false">IF(J98&lt;&gt;"",I98-J98,"")</f>
        <v/>
      </c>
      <c r="L98" s="0" t="str">
        <f aca="false">IF(AND(J98&lt;&gt;"",J98&lt;&gt;0),K98/J98,"")</f>
        <v/>
      </c>
      <c r="M98" s="0" t="str">
        <f aca="false">IF(I98&lt;&gt;"",IF(SUM($I$2:$I$100)&lt;&gt;0,I98/SUM($I$2:$I$100),""),"")</f>
        <v/>
      </c>
    </row>
    <row r="99" customFormat="false" ht="15" hidden="false" customHeight="false" outlineLevel="0" collapsed="false">
      <c r="H99" s="0" t="str">
        <f aca="false">IF(A99&lt;&gt;"",googlefinance(A99,"price"),"")</f>
        <v/>
      </c>
      <c r="I99" s="0" t="str">
        <f aca="false">IF(F99&lt;&gt;"",F99*H99,"")</f>
        <v/>
      </c>
      <c r="J99" s="0" t="str">
        <f aca="false">IF(F99&lt;&gt;"",F99*G99,"")</f>
        <v/>
      </c>
      <c r="K99" s="0" t="str">
        <f aca="false">IF(J99&lt;&gt;"",I99-J99,"")</f>
        <v/>
      </c>
      <c r="L99" s="0" t="str">
        <f aca="false">IF(AND(J99&lt;&gt;"",J99&lt;&gt;0),K99/J99,"")</f>
        <v/>
      </c>
      <c r="M99" s="0" t="str">
        <f aca="false">IF(I99&lt;&gt;"",IF(SUM($I$2:$I$100)&lt;&gt;0,I99/SUM($I$2:$I$100),""),"")</f>
        <v/>
      </c>
    </row>
    <row r="100" customFormat="false" ht="15" hidden="false" customHeight="false" outlineLevel="0" collapsed="false">
      <c r="H100" s="0" t="str">
        <f aca="false">IF(A100&lt;&gt;"",googlefinance(A100,"price"),"")</f>
        <v/>
      </c>
      <c r="I100" s="0" t="str">
        <f aca="false">IF(F100&lt;&gt;"",F100*H100,"")</f>
        <v/>
      </c>
      <c r="J100" s="0" t="str">
        <f aca="false">IF(F100&lt;&gt;"",F100*G100,"")</f>
        <v/>
      </c>
      <c r="K100" s="0" t="str">
        <f aca="false">IF(J100&lt;&gt;"",I100-J100,"")</f>
        <v/>
      </c>
      <c r="L100" s="0" t="str">
        <f aca="false">IF(AND(J100&lt;&gt;"",J100&lt;&gt;0),K100/J100,"")</f>
        <v/>
      </c>
      <c r="M100" s="0" t="str">
        <f aca="false">IF(I100&lt;&gt;"",IF(SUM($I$2:$I$100)&lt;&gt;0,I100/SUM($I$2:$I$100),""),"")</f>
        <v/>
      </c>
    </row>
  </sheetData>
  <autoFilter ref="A1:T100"/>
  <conditionalFormatting sqref="K2:K100">
    <cfRule type="cellIs" priority="2" operator="greaterThan" aboveAverage="0" equalAverage="0" bottom="0" percent="0" rank="0" text="" dxfId="5">
      <formula>0</formula>
    </cfRule>
    <cfRule type="cellIs" priority="3" operator="lessThan" aboveAverage="0" equalAverage="0" bottom="0" percent="0" rank="0" text="" dxfId="6">
      <formula>0</formula>
    </cfRule>
  </conditionalFormatting>
  <conditionalFormatting sqref="L2:L100">
    <cfRule type="cellIs" priority="4" operator="greaterThan" aboveAverage="0" equalAverage="0" bottom="0" percent="0" rank="0" text="" dxfId="5">
      <formula>0</formula>
    </cfRule>
    <cfRule type="cellIs" priority="5" operator="lessThan" aboveAverage="0" equalAverage="0" bottom="0" percent="0" rank="0" text="" dxfId="6">
      <formula>0</formula>
    </cfRule>
  </conditionalFormatting>
  <dataValidations count="4">
    <dataValidation allowBlank="true" errorStyle="stop" operator="between" showDropDown="false" showErrorMessage="false" showInputMessage="false" sqref="C2:C100" type="list">
      <formula1>Config!$A$2:$A$5</formula1>
      <formula2>0</formula2>
    </dataValidation>
    <dataValidation allowBlank="true" errorStyle="stop" operator="between" showDropDown="false" showErrorMessage="false" showInputMessage="false" sqref="D2:D100" type="list">
      <formula1>Config!$B$2:$B$12</formula1>
      <formula2>0</formula2>
    </dataValidation>
    <dataValidation allowBlank="true" errorStyle="stop" operator="between" showDropDown="false" showErrorMessage="false" showInputMessage="false" sqref="E2:E100" type="list">
      <formula1>Config!$C$2:$C$7</formula1>
      <formula2>0</formula2>
    </dataValidation>
    <dataValidation allowBlank="true" errorStyle="stop" operator="between" showDropDown="false" showErrorMessage="false" showInputMessage="false" sqref="P2:P100" type="list">
      <formula1>Config!$D$2:$D$5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11" min="7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21" t="s">
        <v>94</v>
      </c>
      <c r="B1" s="21"/>
      <c r="C1" s="21"/>
    </row>
    <row r="2" customFormat="false" ht="15" hidden="false" customHeight="false" outlineLevel="0" collapsed="false">
      <c r="A2" s="17" t="s">
        <v>95</v>
      </c>
      <c r="B2" s="22" t="n">
        <f aca="false">SUM(K4:K100)</f>
        <v>1706.25</v>
      </c>
      <c r="C2" s="17" t="s">
        <v>96</v>
      </c>
      <c r="D2" s="22" t="e">
        <f aca="false">SUMPRODUCT((M4:M100="Short Term")*(K4:K100))</f>
        <v>#VALUE!</v>
      </c>
      <c r="E2" s="17" t="s">
        <v>97</v>
      </c>
      <c r="F2" s="22" t="e">
        <f aca="false">SUMPRODUCT((M4:M100="Long Term")*(K4:K100))</f>
        <v>#VALUE!</v>
      </c>
      <c r="G2" s="17" t="s">
        <v>98</v>
      </c>
      <c r="H2" s="23" t="n">
        <f aca="false">COUNTIF(N4:N100,TRUE())</f>
        <v>0</v>
      </c>
    </row>
    <row r="3" customFormat="false" ht="15" hidden="false" customHeight="false" outlineLevel="0" collapsed="false">
      <c r="A3" s="4" t="s">
        <v>62</v>
      </c>
      <c r="B3" s="4" t="s">
        <v>63</v>
      </c>
      <c r="C3" s="4" t="s">
        <v>2</v>
      </c>
      <c r="D3" s="4" t="s">
        <v>99</v>
      </c>
      <c r="E3" s="4" t="s">
        <v>100</v>
      </c>
      <c r="F3" s="4" t="s">
        <v>65</v>
      </c>
      <c r="G3" s="4" t="s">
        <v>101</v>
      </c>
      <c r="H3" s="4" t="s">
        <v>102</v>
      </c>
      <c r="I3" s="4" t="s">
        <v>103</v>
      </c>
      <c r="J3" s="4" t="s">
        <v>4</v>
      </c>
      <c r="K3" s="4" t="s">
        <v>5</v>
      </c>
      <c r="L3" s="4" t="s">
        <v>6</v>
      </c>
      <c r="M3" s="4" t="s">
        <v>104</v>
      </c>
      <c r="N3" s="4" t="s">
        <v>105</v>
      </c>
      <c r="O3" s="4" t="s">
        <v>106</v>
      </c>
    </row>
    <row r="4" customFormat="false" ht="15" hidden="false" customHeight="false" outlineLevel="0" collapsed="false">
      <c r="A4" s="18" t="s">
        <v>107</v>
      </c>
      <c r="B4" s="18" t="s">
        <v>108</v>
      </c>
      <c r="C4" s="18" t="s">
        <v>8</v>
      </c>
      <c r="D4" s="18" t="s">
        <v>109</v>
      </c>
      <c r="E4" s="18" t="s">
        <v>110</v>
      </c>
      <c r="F4" s="18" t="n">
        <v>10</v>
      </c>
      <c r="G4" s="19" t="n">
        <v>285</v>
      </c>
      <c r="H4" s="19" t="n">
        <v>245.5</v>
      </c>
      <c r="I4" s="19" t="n">
        <f aca="false">F4*G4</f>
        <v>2850</v>
      </c>
      <c r="J4" s="19" t="n">
        <f aca="false">F4*H4</f>
        <v>2455</v>
      </c>
      <c r="K4" s="19" t="n">
        <f aca="false">I4-J4</f>
        <v>395</v>
      </c>
      <c r="L4" s="20" t="n">
        <f aca="false">IF(J4&lt;&gt;0,K4/J4,0)</f>
        <v>0.160896130346232</v>
      </c>
      <c r="M4" s="18" t="str">
        <f aca="false">IF((DATEVALUE(E4)-DATEVALUE(D4))&gt;365,"Long Term","Short Term")</f>
        <v>Short Term</v>
      </c>
      <c r="N4" s="24" t="b">
        <f aca="false">FALSE()</f>
        <v>0</v>
      </c>
      <c r="O4" s="19"/>
    </row>
    <row r="5" customFormat="false" ht="15" hidden="false" customHeight="false" outlineLevel="0" collapsed="false">
      <c r="A5" s="18" t="s">
        <v>111</v>
      </c>
      <c r="B5" s="18" t="s">
        <v>112</v>
      </c>
      <c r="C5" s="18" t="s">
        <v>8</v>
      </c>
      <c r="D5" s="18" t="s">
        <v>113</v>
      </c>
      <c r="E5" s="18" t="s">
        <v>114</v>
      </c>
      <c r="F5" s="18" t="n">
        <v>25</v>
      </c>
      <c r="G5" s="19" t="n">
        <v>168</v>
      </c>
      <c r="H5" s="19" t="n">
        <v>142.75</v>
      </c>
      <c r="I5" s="19" t="n">
        <f aca="false">F5*G5</f>
        <v>4200</v>
      </c>
      <c r="J5" s="19" t="n">
        <f aca="false">F5*H5</f>
        <v>3568.75</v>
      </c>
      <c r="K5" s="19" t="n">
        <f aca="false">I5-J5</f>
        <v>631.25</v>
      </c>
      <c r="L5" s="20" t="n">
        <f aca="false">IF(J5&lt;&gt;0,K5/J5,0)</f>
        <v>0.176882661996497</v>
      </c>
      <c r="M5" s="18" t="str">
        <f aca="false">IF((DATEVALUE(E5)-DATEVALUE(D5))&gt;365,"Long Term","Short Term")</f>
        <v>Short Term</v>
      </c>
      <c r="N5" s="24" t="b">
        <f aca="false">FALSE()</f>
        <v>0</v>
      </c>
      <c r="O5" s="19"/>
    </row>
    <row r="6" customFormat="false" ht="15" hidden="false" customHeight="false" outlineLevel="0" collapsed="false">
      <c r="A6" s="18" t="s">
        <v>115</v>
      </c>
      <c r="B6" s="18" t="s">
        <v>116</v>
      </c>
      <c r="C6" s="18" t="s">
        <v>9</v>
      </c>
      <c r="D6" s="18" t="s">
        <v>117</v>
      </c>
      <c r="E6" s="18" t="s">
        <v>118</v>
      </c>
      <c r="F6" s="18" t="n">
        <v>50</v>
      </c>
      <c r="G6" s="19" t="n">
        <v>42.5</v>
      </c>
      <c r="H6" s="19" t="n">
        <v>28.9</v>
      </c>
      <c r="I6" s="19" t="n">
        <f aca="false">F6*G6</f>
        <v>2125</v>
      </c>
      <c r="J6" s="19" t="n">
        <f aca="false">F6*H6</f>
        <v>1445</v>
      </c>
      <c r="K6" s="19" t="n">
        <f aca="false">I6-J6</f>
        <v>680</v>
      </c>
      <c r="L6" s="20" t="n">
        <f aca="false">IF(J6&lt;&gt;0,K6/J6,0)</f>
        <v>0.470588235294118</v>
      </c>
      <c r="M6" s="18" t="str">
        <f aca="false">IF((DATEVALUE(E6)-DATEVALUE(D6))&gt;365,"Long Term","Short Term")</f>
        <v>Short Term</v>
      </c>
      <c r="N6" s="24" t="b">
        <f aca="false">FALSE()</f>
        <v>0</v>
      </c>
      <c r="O6" s="19"/>
    </row>
    <row r="7" customFormat="false" ht="15" hidden="false" customHeight="false" outlineLevel="0" collapsed="false">
      <c r="I7" s="0" t="str">
        <f aca="false">IF(F7&lt;&gt;"",F7*G7,"")</f>
        <v/>
      </c>
      <c r="J7" s="0" t="str">
        <f aca="false">IF(F7&lt;&gt;"",F7*H7,"")</f>
        <v/>
      </c>
      <c r="K7" s="0" t="str">
        <f aca="false">IF(J7&lt;&gt;"",I7-J7,"")</f>
        <v/>
      </c>
      <c r="L7" s="0" t="str">
        <f aca="false">IF(AND(J7&lt;&gt;"",J7&lt;&gt;0),K7/J7,"")</f>
        <v/>
      </c>
      <c r="M7" s="0" t="str">
        <f aca="false">IF(E7&lt;&gt;"",IF((DATEVALUE(E7)-DATEVALUE(D7))&gt;365,"Long Term","Short Term"),"")</f>
        <v/>
      </c>
    </row>
    <row r="8" customFormat="false" ht="15" hidden="false" customHeight="false" outlineLevel="0" collapsed="false">
      <c r="I8" s="0" t="str">
        <f aca="false">IF(F8&lt;&gt;"",F8*G8,"")</f>
        <v/>
      </c>
      <c r="J8" s="0" t="str">
        <f aca="false">IF(F8&lt;&gt;"",F8*H8,"")</f>
        <v/>
      </c>
      <c r="K8" s="0" t="str">
        <f aca="false">IF(J8&lt;&gt;"",I8-J8,"")</f>
        <v/>
      </c>
      <c r="L8" s="0" t="str">
        <f aca="false">IF(AND(J8&lt;&gt;"",J8&lt;&gt;0),K8/J8,"")</f>
        <v/>
      </c>
      <c r="M8" s="0" t="str">
        <f aca="false">IF(E8&lt;&gt;"",IF((DATEVALUE(E8)-DATEVALUE(D8))&gt;365,"Long Term","Short Term"),"")</f>
        <v/>
      </c>
    </row>
    <row r="9" customFormat="false" ht="15" hidden="false" customHeight="false" outlineLevel="0" collapsed="false">
      <c r="I9" s="0" t="str">
        <f aca="false">IF(F9&lt;&gt;"",F9*G9,"")</f>
        <v/>
      </c>
      <c r="J9" s="0" t="str">
        <f aca="false">IF(F9&lt;&gt;"",F9*H9,"")</f>
        <v/>
      </c>
      <c r="K9" s="0" t="str">
        <f aca="false">IF(J9&lt;&gt;"",I9-J9,"")</f>
        <v/>
      </c>
      <c r="L9" s="0" t="str">
        <f aca="false">IF(AND(J9&lt;&gt;"",J9&lt;&gt;0),K9/J9,"")</f>
        <v/>
      </c>
      <c r="M9" s="0" t="str">
        <f aca="false">IF(E9&lt;&gt;"",IF((DATEVALUE(E9)-DATEVALUE(D9))&gt;365,"Long Term","Short Term"),"")</f>
        <v/>
      </c>
    </row>
    <row r="10" customFormat="false" ht="15" hidden="false" customHeight="false" outlineLevel="0" collapsed="false">
      <c r="I10" s="0" t="str">
        <f aca="false">IF(F10&lt;&gt;"",F10*G10,"")</f>
        <v/>
      </c>
      <c r="J10" s="0" t="str">
        <f aca="false">IF(F10&lt;&gt;"",F10*H10,"")</f>
        <v/>
      </c>
      <c r="K10" s="0" t="str">
        <f aca="false">IF(J10&lt;&gt;"",I10-J10,"")</f>
        <v/>
      </c>
      <c r="L10" s="0" t="str">
        <f aca="false">IF(AND(J10&lt;&gt;"",J10&lt;&gt;0),K10/J10,"")</f>
        <v/>
      </c>
      <c r="M10" s="0" t="str">
        <f aca="false">IF(E10&lt;&gt;"",IF((DATEVALUE(E10)-DATEVALUE(D10))&gt;365,"Long Term","Short Term"),"")</f>
        <v/>
      </c>
    </row>
    <row r="11" customFormat="false" ht="15" hidden="false" customHeight="false" outlineLevel="0" collapsed="false">
      <c r="I11" s="0" t="str">
        <f aca="false">IF(F11&lt;&gt;"",F11*G11,"")</f>
        <v/>
      </c>
      <c r="J11" s="0" t="str">
        <f aca="false">IF(F11&lt;&gt;"",F11*H11,"")</f>
        <v/>
      </c>
      <c r="K11" s="0" t="str">
        <f aca="false">IF(J11&lt;&gt;"",I11-J11,"")</f>
        <v/>
      </c>
      <c r="L11" s="0" t="str">
        <f aca="false">IF(AND(J11&lt;&gt;"",J11&lt;&gt;0),K11/J11,"")</f>
        <v/>
      </c>
      <c r="M11" s="0" t="str">
        <f aca="false">IF(E11&lt;&gt;"",IF((DATEVALUE(E11)-DATEVALUE(D11))&gt;365,"Long Term","Short Term"),"")</f>
        <v/>
      </c>
    </row>
    <row r="12" customFormat="false" ht="15" hidden="false" customHeight="false" outlineLevel="0" collapsed="false">
      <c r="I12" s="0" t="str">
        <f aca="false">IF(F12&lt;&gt;"",F12*G12,"")</f>
        <v/>
      </c>
      <c r="J12" s="0" t="str">
        <f aca="false">IF(F12&lt;&gt;"",F12*H12,"")</f>
        <v/>
      </c>
      <c r="K12" s="0" t="str">
        <f aca="false">IF(J12&lt;&gt;"",I12-J12,"")</f>
        <v/>
      </c>
      <c r="L12" s="0" t="str">
        <f aca="false">IF(AND(J12&lt;&gt;"",J12&lt;&gt;0),K12/J12,"")</f>
        <v/>
      </c>
      <c r="M12" s="0" t="str">
        <f aca="false">IF(E12&lt;&gt;"",IF((DATEVALUE(E12)-DATEVALUE(D12))&gt;365,"Long Term","Short Term"),"")</f>
        <v/>
      </c>
    </row>
    <row r="13" customFormat="false" ht="15" hidden="false" customHeight="false" outlineLevel="0" collapsed="false">
      <c r="I13" s="0" t="str">
        <f aca="false">IF(F13&lt;&gt;"",F13*G13,"")</f>
        <v/>
      </c>
      <c r="J13" s="0" t="str">
        <f aca="false">IF(F13&lt;&gt;"",F13*H13,"")</f>
        <v/>
      </c>
      <c r="K13" s="0" t="str">
        <f aca="false">IF(J13&lt;&gt;"",I13-J13,"")</f>
        <v/>
      </c>
      <c r="L13" s="0" t="str">
        <f aca="false">IF(AND(J13&lt;&gt;"",J13&lt;&gt;0),K13/J13,"")</f>
        <v/>
      </c>
      <c r="M13" s="0" t="str">
        <f aca="false">IF(E13&lt;&gt;"",IF((DATEVALUE(E13)-DATEVALUE(D13))&gt;365,"Long Term","Short Term"),"")</f>
        <v/>
      </c>
    </row>
    <row r="14" customFormat="false" ht="15" hidden="false" customHeight="false" outlineLevel="0" collapsed="false">
      <c r="I14" s="0" t="str">
        <f aca="false">IF(F14&lt;&gt;"",F14*G14,"")</f>
        <v/>
      </c>
      <c r="J14" s="0" t="str">
        <f aca="false">IF(F14&lt;&gt;"",F14*H14,"")</f>
        <v/>
      </c>
      <c r="K14" s="0" t="str">
        <f aca="false">IF(J14&lt;&gt;"",I14-J14,"")</f>
        <v/>
      </c>
      <c r="L14" s="0" t="str">
        <f aca="false">IF(AND(J14&lt;&gt;"",J14&lt;&gt;0),K14/J14,"")</f>
        <v/>
      </c>
      <c r="M14" s="0" t="str">
        <f aca="false">IF(E14&lt;&gt;"",IF((DATEVALUE(E14)-DATEVALUE(D14))&gt;365,"Long Term","Short Term"),"")</f>
        <v/>
      </c>
    </row>
    <row r="15" customFormat="false" ht="15" hidden="false" customHeight="false" outlineLevel="0" collapsed="false">
      <c r="I15" s="0" t="str">
        <f aca="false">IF(F15&lt;&gt;"",F15*G15,"")</f>
        <v/>
      </c>
      <c r="J15" s="0" t="str">
        <f aca="false">IF(F15&lt;&gt;"",F15*H15,"")</f>
        <v/>
      </c>
      <c r="K15" s="0" t="str">
        <f aca="false">IF(J15&lt;&gt;"",I15-J15,"")</f>
        <v/>
      </c>
      <c r="L15" s="0" t="str">
        <f aca="false">IF(AND(J15&lt;&gt;"",J15&lt;&gt;0),K15/J15,"")</f>
        <v/>
      </c>
      <c r="M15" s="0" t="str">
        <f aca="false">IF(E15&lt;&gt;"",IF((DATEVALUE(E15)-DATEVALUE(D15))&gt;365,"Long Term","Short Term"),"")</f>
        <v/>
      </c>
    </row>
    <row r="16" customFormat="false" ht="15" hidden="false" customHeight="false" outlineLevel="0" collapsed="false">
      <c r="I16" s="0" t="str">
        <f aca="false">IF(F16&lt;&gt;"",F16*G16,"")</f>
        <v/>
      </c>
      <c r="J16" s="0" t="str">
        <f aca="false">IF(F16&lt;&gt;"",F16*H16,"")</f>
        <v/>
      </c>
      <c r="K16" s="0" t="str">
        <f aca="false">IF(J16&lt;&gt;"",I16-J16,"")</f>
        <v/>
      </c>
      <c r="L16" s="0" t="str">
        <f aca="false">IF(AND(J16&lt;&gt;"",J16&lt;&gt;0),K16/J16,"")</f>
        <v/>
      </c>
      <c r="M16" s="0" t="str">
        <f aca="false">IF(E16&lt;&gt;"",IF((DATEVALUE(E16)-DATEVALUE(D16))&gt;365,"Long Term","Short Term"),"")</f>
        <v/>
      </c>
    </row>
    <row r="17" customFormat="false" ht="15" hidden="false" customHeight="false" outlineLevel="0" collapsed="false">
      <c r="I17" s="0" t="str">
        <f aca="false">IF(F17&lt;&gt;"",F17*G17,"")</f>
        <v/>
      </c>
      <c r="J17" s="0" t="str">
        <f aca="false">IF(F17&lt;&gt;"",F17*H17,"")</f>
        <v/>
      </c>
      <c r="K17" s="0" t="str">
        <f aca="false">IF(J17&lt;&gt;"",I17-J17,"")</f>
        <v/>
      </c>
      <c r="L17" s="0" t="str">
        <f aca="false">IF(AND(J17&lt;&gt;"",J17&lt;&gt;0),K17/J17,"")</f>
        <v/>
      </c>
      <c r="M17" s="0" t="str">
        <f aca="false">IF(E17&lt;&gt;"",IF((DATEVALUE(E17)-DATEVALUE(D17))&gt;365,"Long Term","Short Term"),"")</f>
        <v/>
      </c>
    </row>
    <row r="18" customFormat="false" ht="15" hidden="false" customHeight="false" outlineLevel="0" collapsed="false">
      <c r="I18" s="0" t="str">
        <f aca="false">IF(F18&lt;&gt;"",F18*G18,"")</f>
        <v/>
      </c>
      <c r="J18" s="0" t="str">
        <f aca="false">IF(F18&lt;&gt;"",F18*H18,"")</f>
        <v/>
      </c>
      <c r="K18" s="0" t="str">
        <f aca="false">IF(J18&lt;&gt;"",I18-J18,"")</f>
        <v/>
      </c>
      <c r="L18" s="0" t="str">
        <f aca="false">IF(AND(J18&lt;&gt;"",J18&lt;&gt;0),K18/J18,"")</f>
        <v/>
      </c>
      <c r="M18" s="0" t="str">
        <f aca="false">IF(E18&lt;&gt;"",IF((DATEVALUE(E18)-DATEVALUE(D18))&gt;365,"Long Term","Short Term"),"")</f>
        <v/>
      </c>
    </row>
    <row r="19" customFormat="false" ht="15" hidden="false" customHeight="false" outlineLevel="0" collapsed="false">
      <c r="I19" s="0" t="str">
        <f aca="false">IF(F19&lt;&gt;"",F19*G19,"")</f>
        <v/>
      </c>
      <c r="J19" s="0" t="str">
        <f aca="false">IF(F19&lt;&gt;"",F19*H19,"")</f>
        <v/>
      </c>
      <c r="K19" s="0" t="str">
        <f aca="false">IF(J19&lt;&gt;"",I19-J19,"")</f>
        <v/>
      </c>
      <c r="L19" s="0" t="str">
        <f aca="false">IF(AND(J19&lt;&gt;"",J19&lt;&gt;0),K19/J19,"")</f>
        <v/>
      </c>
      <c r="M19" s="0" t="str">
        <f aca="false">IF(E19&lt;&gt;"",IF((DATEVALUE(E19)-DATEVALUE(D19))&gt;365,"Long Term","Short Term"),"")</f>
        <v/>
      </c>
    </row>
    <row r="20" customFormat="false" ht="15" hidden="false" customHeight="false" outlineLevel="0" collapsed="false">
      <c r="I20" s="0" t="str">
        <f aca="false">IF(F20&lt;&gt;"",F20*G20,"")</f>
        <v/>
      </c>
      <c r="J20" s="0" t="str">
        <f aca="false">IF(F20&lt;&gt;"",F20*H20,"")</f>
        <v/>
      </c>
      <c r="K20" s="0" t="str">
        <f aca="false">IF(J20&lt;&gt;"",I20-J20,"")</f>
        <v/>
      </c>
      <c r="L20" s="0" t="str">
        <f aca="false">IF(AND(J20&lt;&gt;"",J20&lt;&gt;0),K20/J20,"")</f>
        <v/>
      </c>
      <c r="M20" s="0" t="str">
        <f aca="false">IF(E20&lt;&gt;"",IF((DATEVALUE(E20)-DATEVALUE(D20))&gt;365,"Long Term","Short Term"),"")</f>
        <v/>
      </c>
    </row>
    <row r="21" customFormat="false" ht="15" hidden="false" customHeight="false" outlineLevel="0" collapsed="false">
      <c r="I21" s="0" t="str">
        <f aca="false">IF(F21&lt;&gt;"",F21*G21,"")</f>
        <v/>
      </c>
      <c r="J21" s="0" t="str">
        <f aca="false">IF(F21&lt;&gt;"",F21*H21,"")</f>
        <v/>
      </c>
      <c r="K21" s="0" t="str">
        <f aca="false">IF(J21&lt;&gt;"",I21-J21,"")</f>
        <v/>
      </c>
      <c r="L21" s="0" t="str">
        <f aca="false">IF(AND(J21&lt;&gt;"",J21&lt;&gt;0),K21/J21,"")</f>
        <v/>
      </c>
      <c r="M21" s="0" t="str">
        <f aca="false">IF(E21&lt;&gt;"",IF((DATEVALUE(E21)-DATEVALUE(D21))&gt;365,"Long Term","Short Term"),"")</f>
        <v/>
      </c>
    </row>
    <row r="22" customFormat="false" ht="15" hidden="false" customHeight="false" outlineLevel="0" collapsed="false">
      <c r="I22" s="0" t="str">
        <f aca="false">IF(F22&lt;&gt;"",F22*G22,"")</f>
        <v/>
      </c>
      <c r="J22" s="0" t="str">
        <f aca="false">IF(F22&lt;&gt;"",F22*H22,"")</f>
        <v/>
      </c>
      <c r="K22" s="0" t="str">
        <f aca="false">IF(J22&lt;&gt;"",I22-J22,"")</f>
        <v/>
      </c>
      <c r="L22" s="0" t="str">
        <f aca="false">IF(AND(J22&lt;&gt;"",J22&lt;&gt;0),K22/J22,"")</f>
        <v/>
      </c>
      <c r="M22" s="0" t="str">
        <f aca="false">IF(E22&lt;&gt;"",IF((DATEVALUE(E22)-DATEVALUE(D22))&gt;365,"Long Term","Short Term"),"")</f>
        <v/>
      </c>
    </row>
    <row r="23" customFormat="false" ht="15" hidden="false" customHeight="false" outlineLevel="0" collapsed="false">
      <c r="I23" s="0" t="str">
        <f aca="false">IF(F23&lt;&gt;"",F23*G23,"")</f>
        <v/>
      </c>
      <c r="J23" s="0" t="str">
        <f aca="false">IF(F23&lt;&gt;"",F23*H23,"")</f>
        <v/>
      </c>
      <c r="K23" s="0" t="str">
        <f aca="false">IF(J23&lt;&gt;"",I23-J23,"")</f>
        <v/>
      </c>
      <c r="L23" s="0" t="str">
        <f aca="false">IF(AND(J23&lt;&gt;"",J23&lt;&gt;0),K23/J23,"")</f>
        <v/>
      </c>
      <c r="M23" s="0" t="str">
        <f aca="false">IF(E23&lt;&gt;"",IF((DATEVALUE(E23)-DATEVALUE(D23))&gt;365,"Long Term","Short Term"),"")</f>
        <v/>
      </c>
    </row>
    <row r="24" customFormat="false" ht="15" hidden="false" customHeight="false" outlineLevel="0" collapsed="false">
      <c r="I24" s="0" t="str">
        <f aca="false">IF(F24&lt;&gt;"",F24*G24,"")</f>
        <v/>
      </c>
      <c r="J24" s="0" t="str">
        <f aca="false">IF(F24&lt;&gt;"",F24*H24,"")</f>
        <v/>
      </c>
      <c r="K24" s="0" t="str">
        <f aca="false">IF(J24&lt;&gt;"",I24-J24,"")</f>
        <v/>
      </c>
      <c r="L24" s="0" t="str">
        <f aca="false">IF(AND(J24&lt;&gt;"",J24&lt;&gt;0),K24/J24,"")</f>
        <v/>
      </c>
      <c r="M24" s="0" t="str">
        <f aca="false">IF(E24&lt;&gt;"",IF((DATEVALUE(E24)-DATEVALUE(D24))&gt;365,"Long Term","Short Term"),"")</f>
        <v/>
      </c>
    </row>
    <row r="25" customFormat="false" ht="15" hidden="false" customHeight="false" outlineLevel="0" collapsed="false">
      <c r="I25" s="0" t="str">
        <f aca="false">IF(F25&lt;&gt;"",F25*G25,"")</f>
        <v/>
      </c>
      <c r="J25" s="0" t="str">
        <f aca="false">IF(F25&lt;&gt;"",F25*H25,"")</f>
        <v/>
      </c>
      <c r="K25" s="0" t="str">
        <f aca="false">IF(J25&lt;&gt;"",I25-J25,"")</f>
        <v/>
      </c>
      <c r="L25" s="0" t="str">
        <f aca="false">IF(AND(J25&lt;&gt;"",J25&lt;&gt;0),K25/J25,"")</f>
        <v/>
      </c>
      <c r="M25" s="0" t="str">
        <f aca="false">IF(E25&lt;&gt;"",IF((DATEVALUE(E25)-DATEVALUE(D25))&gt;365,"Long Term","Short Term"),"")</f>
        <v/>
      </c>
    </row>
    <row r="26" customFormat="false" ht="15" hidden="false" customHeight="false" outlineLevel="0" collapsed="false">
      <c r="I26" s="0" t="str">
        <f aca="false">IF(F26&lt;&gt;"",F26*G26,"")</f>
        <v/>
      </c>
      <c r="J26" s="0" t="str">
        <f aca="false">IF(F26&lt;&gt;"",F26*H26,"")</f>
        <v/>
      </c>
      <c r="K26" s="0" t="str">
        <f aca="false">IF(J26&lt;&gt;"",I26-J26,"")</f>
        <v/>
      </c>
      <c r="L26" s="0" t="str">
        <f aca="false">IF(AND(J26&lt;&gt;"",J26&lt;&gt;0),K26/J26,"")</f>
        <v/>
      </c>
      <c r="M26" s="0" t="str">
        <f aca="false">IF(E26&lt;&gt;"",IF((DATEVALUE(E26)-DATEVALUE(D26))&gt;365,"Long Term","Short Term"),"")</f>
        <v/>
      </c>
    </row>
    <row r="27" customFormat="false" ht="15" hidden="false" customHeight="false" outlineLevel="0" collapsed="false">
      <c r="I27" s="0" t="str">
        <f aca="false">IF(F27&lt;&gt;"",F27*G27,"")</f>
        <v/>
      </c>
      <c r="J27" s="0" t="str">
        <f aca="false">IF(F27&lt;&gt;"",F27*H27,"")</f>
        <v/>
      </c>
      <c r="K27" s="0" t="str">
        <f aca="false">IF(J27&lt;&gt;"",I27-J27,"")</f>
        <v/>
      </c>
      <c r="L27" s="0" t="str">
        <f aca="false">IF(AND(J27&lt;&gt;"",J27&lt;&gt;0),K27/J27,"")</f>
        <v/>
      </c>
      <c r="M27" s="0" t="str">
        <f aca="false">IF(E27&lt;&gt;"",IF((DATEVALUE(E27)-DATEVALUE(D27))&gt;365,"Long Term","Short Term"),"")</f>
        <v/>
      </c>
    </row>
    <row r="28" customFormat="false" ht="15" hidden="false" customHeight="false" outlineLevel="0" collapsed="false">
      <c r="I28" s="0" t="str">
        <f aca="false">IF(F28&lt;&gt;"",F28*G28,"")</f>
        <v/>
      </c>
      <c r="J28" s="0" t="str">
        <f aca="false">IF(F28&lt;&gt;"",F28*H28,"")</f>
        <v/>
      </c>
      <c r="K28" s="0" t="str">
        <f aca="false">IF(J28&lt;&gt;"",I28-J28,"")</f>
        <v/>
      </c>
      <c r="L28" s="0" t="str">
        <f aca="false">IF(AND(J28&lt;&gt;"",J28&lt;&gt;0),K28/J28,"")</f>
        <v/>
      </c>
      <c r="M28" s="0" t="str">
        <f aca="false">IF(E28&lt;&gt;"",IF((DATEVALUE(E28)-DATEVALUE(D28))&gt;365,"Long Term","Short Term"),"")</f>
        <v/>
      </c>
    </row>
    <row r="29" customFormat="false" ht="15" hidden="false" customHeight="false" outlineLevel="0" collapsed="false">
      <c r="I29" s="0" t="str">
        <f aca="false">IF(F29&lt;&gt;"",F29*G29,"")</f>
        <v/>
      </c>
      <c r="J29" s="0" t="str">
        <f aca="false">IF(F29&lt;&gt;"",F29*H29,"")</f>
        <v/>
      </c>
      <c r="K29" s="0" t="str">
        <f aca="false">IF(J29&lt;&gt;"",I29-J29,"")</f>
        <v/>
      </c>
      <c r="L29" s="0" t="str">
        <f aca="false">IF(AND(J29&lt;&gt;"",J29&lt;&gt;0),K29/J29,"")</f>
        <v/>
      </c>
      <c r="M29" s="0" t="str">
        <f aca="false">IF(E29&lt;&gt;"",IF((DATEVALUE(E29)-DATEVALUE(D29))&gt;365,"Long Term","Short Term"),"")</f>
        <v/>
      </c>
    </row>
    <row r="30" customFormat="false" ht="15" hidden="false" customHeight="false" outlineLevel="0" collapsed="false">
      <c r="I30" s="0" t="str">
        <f aca="false">IF(F30&lt;&gt;"",F30*G30,"")</f>
        <v/>
      </c>
      <c r="J30" s="0" t="str">
        <f aca="false">IF(F30&lt;&gt;"",F30*H30,"")</f>
        <v/>
      </c>
      <c r="K30" s="0" t="str">
        <f aca="false">IF(J30&lt;&gt;"",I30-J30,"")</f>
        <v/>
      </c>
      <c r="L30" s="0" t="str">
        <f aca="false">IF(AND(J30&lt;&gt;"",J30&lt;&gt;0),K30/J30,"")</f>
        <v/>
      </c>
      <c r="M30" s="0" t="str">
        <f aca="false">IF(E30&lt;&gt;"",IF((DATEVALUE(E30)-DATEVALUE(D30))&gt;365,"Long Term","Short Term"),"")</f>
        <v/>
      </c>
    </row>
    <row r="31" customFormat="false" ht="15" hidden="false" customHeight="false" outlineLevel="0" collapsed="false">
      <c r="I31" s="0" t="str">
        <f aca="false">IF(F31&lt;&gt;"",F31*G31,"")</f>
        <v/>
      </c>
      <c r="J31" s="0" t="str">
        <f aca="false">IF(F31&lt;&gt;"",F31*H31,"")</f>
        <v/>
      </c>
      <c r="K31" s="0" t="str">
        <f aca="false">IF(J31&lt;&gt;"",I31-J31,"")</f>
        <v/>
      </c>
      <c r="L31" s="0" t="str">
        <f aca="false">IF(AND(J31&lt;&gt;"",J31&lt;&gt;0),K31/J31,"")</f>
        <v/>
      </c>
      <c r="M31" s="0" t="str">
        <f aca="false">IF(E31&lt;&gt;"",IF((DATEVALUE(E31)-DATEVALUE(D31))&gt;365,"Long Term","Short Term"),"")</f>
        <v/>
      </c>
    </row>
    <row r="32" customFormat="false" ht="15" hidden="false" customHeight="false" outlineLevel="0" collapsed="false">
      <c r="I32" s="0" t="str">
        <f aca="false">IF(F32&lt;&gt;"",F32*G32,"")</f>
        <v/>
      </c>
      <c r="J32" s="0" t="str">
        <f aca="false">IF(F32&lt;&gt;"",F32*H32,"")</f>
        <v/>
      </c>
      <c r="K32" s="0" t="str">
        <f aca="false">IF(J32&lt;&gt;"",I32-J32,"")</f>
        <v/>
      </c>
      <c r="L32" s="0" t="str">
        <f aca="false">IF(AND(J32&lt;&gt;"",J32&lt;&gt;0),K32/J32,"")</f>
        <v/>
      </c>
      <c r="M32" s="0" t="str">
        <f aca="false">IF(E32&lt;&gt;"",IF((DATEVALUE(E32)-DATEVALUE(D32))&gt;365,"Long Term","Short Term"),"")</f>
        <v/>
      </c>
    </row>
    <row r="33" customFormat="false" ht="15" hidden="false" customHeight="false" outlineLevel="0" collapsed="false">
      <c r="I33" s="0" t="str">
        <f aca="false">IF(F33&lt;&gt;"",F33*G33,"")</f>
        <v/>
      </c>
      <c r="J33" s="0" t="str">
        <f aca="false">IF(F33&lt;&gt;"",F33*H33,"")</f>
        <v/>
      </c>
      <c r="K33" s="0" t="str">
        <f aca="false">IF(J33&lt;&gt;"",I33-J33,"")</f>
        <v/>
      </c>
      <c r="L33" s="0" t="str">
        <f aca="false">IF(AND(J33&lt;&gt;"",J33&lt;&gt;0),K33/J33,"")</f>
        <v/>
      </c>
      <c r="M33" s="0" t="str">
        <f aca="false">IF(E33&lt;&gt;"",IF((DATEVALUE(E33)-DATEVALUE(D33))&gt;365,"Long Term","Short Term"),"")</f>
        <v/>
      </c>
    </row>
    <row r="34" customFormat="false" ht="15" hidden="false" customHeight="false" outlineLevel="0" collapsed="false">
      <c r="I34" s="0" t="str">
        <f aca="false">IF(F34&lt;&gt;"",F34*G34,"")</f>
        <v/>
      </c>
      <c r="J34" s="0" t="str">
        <f aca="false">IF(F34&lt;&gt;"",F34*H34,"")</f>
        <v/>
      </c>
      <c r="K34" s="0" t="str">
        <f aca="false">IF(J34&lt;&gt;"",I34-J34,"")</f>
        <v/>
      </c>
      <c r="L34" s="0" t="str">
        <f aca="false">IF(AND(J34&lt;&gt;"",J34&lt;&gt;0),K34/J34,"")</f>
        <v/>
      </c>
      <c r="M34" s="0" t="str">
        <f aca="false">IF(E34&lt;&gt;"",IF((DATEVALUE(E34)-DATEVALUE(D34))&gt;365,"Long Term","Short Term"),"")</f>
        <v/>
      </c>
    </row>
    <row r="35" customFormat="false" ht="15" hidden="false" customHeight="false" outlineLevel="0" collapsed="false">
      <c r="I35" s="0" t="str">
        <f aca="false">IF(F35&lt;&gt;"",F35*G35,"")</f>
        <v/>
      </c>
      <c r="J35" s="0" t="str">
        <f aca="false">IF(F35&lt;&gt;"",F35*H35,"")</f>
        <v/>
      </c>
      <c r="K35" s="0" t="str">
        <f aca="false">IF(J35&lt;&gt;"",I35-J35,"")</f>
        <v/>
      </c>
      <c r="L35" s="0" t="str">
        <f aca="false">IF(AND(J35&lt;&gt;"",J35&lt;&gt;0),K35/J35,"")</f>
        <v/>
      </c>
      <c r="M35" s="0" t="str">
        <f aca="false">IF(E35&lt;&gt;"",IF((DATEVALUE(E35)-DATEVALUE(D35))&gt;365,"Long Term","Short Term"),"")</f>
        <v/>
      </c>
    </row>
    <row r="36" customFormat="false" ht="15" hidden="false" customHeight="false" outlineLevel="0" collapsed="false">
      <c r="I36" s="0" t="str">
        <f aca="false">IF(F36&lt;&gt;"",F36*G36,"")</f>
        <v/>
      </c>
      <c r="J36" s="0" t="str">
        <f aca="false">IF(F36&lt;&gt;"",F36*H36,"")</f>
        <v/>
      </c>
      <c r="K36" s="0" t="str">
        <f aca="false">IF(J36&lt;&gt;"",I36-J36,"")</f>
        <v/>
      </c>
      <c r="L36" s="0" t="str">
        <f aca="false">IF(AND(J36&lt;&gt;"",J36&lt;&gt;0),K36/J36,"")</f>
        <v/>
      </c>
      <c r="M36" s="0" t="str">
        <f aca="false">IF(E36&lt;&gt;"",IF((DATEVALUE(E36)-DATEVALUE(D36))&gt;365,"Long Term","Short Term"),"")</f>
        <v/>
      </c>
    </row>
    <row r="37" customFormat="false" ht="15" hidden="false" customHeight="false" outlineLevel="0" collapsed="false">
      <c r="I37" s="0" t="str">
        <f aca="false">IF(F37&lt;&gt;"",F37*G37,"")</f>
        <v/>
      </c>
      <c r="J37" s="0" t="str">
        <f aca="false">IF(F37&lt;&gt;"",F37*H37,"")</f>
        <v/>
      </c>
      <c r="K37" s="0" t="str">
        <f aca="false">IF(J37&lt;&gt;"",I37-J37,"")</f>
        <v/>
      </c>
      <c r="L37" s="0" t="str">
        <f aca="false">IF(AND(J37&lt;&gt;"",J37&lt;&gt;0),K37/J37,"")</f>
        <v/>
      </c>
      <c r="M37" s="0" t="str">
        <f aca="false">IF(E37&lt;&gt;"",IF((DATEVALUE(E37)-DATEVALUE(D37))&gt;365,"Long Term","Short Term"),"")</f>
        <v/>
      </c>
    </row>
    <row r="38" customFormat="false" ht="15" hidden="false" customHeight="false" outlineLevel="0" collapsed="false">
      <c r="I38" s="0" t="str">
        <f aca="false">IF(F38&lt;&gt;"",F38*G38,"")</f>
        <v/>
      </c>
      <c r="J38" s="0" t="str">
        <f aca="false">IF(F38&lt;&gt;"",F38*H38,"")</f>
        <v/>
      </c>
      <c r="K38" s="0" t="str">
        <f aca="false">IF(J38&lt;&gt;"",I38-J38,"")</f>
        <v/>
      </c>
      <c r="L38" s="0" t="str">
        <f aca="false">IF(AND(J38&lt;&gt;"",J38&lt;&gt;0),K38/J38,"")</f>
        <v/>
      </c>
      <c r="M38" s="0" t="str">
        <f aca="false">IF(E38&lt;&gt;"",IF((DATEVALUE(E38)-DATEVALUE(D38))&gt;365,"Long Term","Short Term"),"")</f>
        <v/>
      </c>
    </row>
    <row r="39" customFormat="false" ht="15" hidden="false" customHeight="false" outlineLevel="0" collapsed="false">
      <c r="I39" s="0" t="str">
        <f aca="false">IF(F39&lt;&gt;"",F39*G39,"")</f>
        <v/>
      </c>
      <c r="J39" s="0" t="str">
        <f aca="false">IF(F39&lt;&gt;"",F39*H39,"")</f>
        <v/>
      </c>
      <c r="K39" s="0" t="str">
        <f aca="false">IF(J39&lt;&gt;"",I39-J39,"")</f>
        <v/>
      </c>
      <c r="L39" s="0" t="str">
        <f aca="false">IF(AND(J39&lt;&gt;"",J39&lt;&gt;0),K39/J39,"")</f>
        <v/>
      </c>
      <c r="M39" s="0" t="str">
        <f aca="false">IF(E39&lt;&gt;"",IF((DATEVALUE(E39)-DATEVALUE(D39))&gt;365,"Long Term","Short Term"),"")</f>
        <v/>
      </c>
    </row>
    <row r="40" customFormat="false" ht="15" hidden="false" customHeight="false" outlineLevel="0" collapsed="false">
      <c r="I40" s="0" t="str">
        <f aca="false">IF(F40&lt;&gt;"",F40*G40,"")</f>
        <v/>
      </c>
      <c r="J40" s="0" t="str">
        <f aca="false">IF(F40&lt;&gt;"",F40*H40,"")</f>
        <v/>
      </c>
      <c r="K40" s="0" t="str">
        <f aca="false">IF(J40&lt;&gt;"",I40-J40,"")</f>
        <v/>
      </c>
      <c r="L40" s="0" t="str">
        <f aca="false">IF(AND(J40&lt;&gt;"",J40&lt;&gt;0),K40/J40,"")</f>
        <v/>
      </c>
      <c r="M40" s="0" t="str">
        <f aca="false">IF(E40&lt;&gt;"",IF((DATEVALUE(E40)-DATEVALUE(D40))&gt;365,"Long Term","Short Term"),"")</f>
        <v/>
      </c>
    </row>
    <row r="41" customFormat="false" ht="15" hidden="false" customHeight="false" outlineLevel="0" collapsed="false">
      <c r="I41" s="0" t="str">
        <f aca="false">IF(F41&lt;&gt;"",F41*G41,"")</f>
        <v/>
      </c>
      <c r="J41" s="0" t="str">
        <f aca="false">IF(F41&lt;&gt;"",F41*H41,"")</f>
        <v/>
      </c>
      <c r="K41" s="0" t="str">
        <f aca="false">IF(J41&lt;&gt;"",I41-J41,"")</f>
        <v/>
      </c>
      <c r="L41" s="0" t="str">
        <f aca="false">IF(AND(J41&lt;&gt;"",J41&lt;&gt;0),K41/J41,"")</f>
        <v/>
      </c>
      <c r="M41" s="0" t="str">
        <f aca="false">IF(E41&lt;&gt;"",IF((DATEVALUE(E41)-DATEVALUE(D41))&gt;365,"Long Term","Short Term"),"")</f>
        <v/>
      </c>
    </row>
    <row r="42" customFormat="false" ht="15" hidden="false" customHeight="false" outlineLevel="0" collapsed="false">
      <c r="I42" s="0" t="str">
        <f aca="false">IF(F42&lt;&gt;"",F42*G42,"")</f>
        <v/>
      </c>
      <c r="J42" s="0" t="str">
        <f aca="false">IF(F42&lt;&gt;"",F42*H42,"")</f>
        <v/>
      </c>
      <c r="K42" s="0" t="str">
        <f aca="false">IF(J42&lt;&gt;"",I42-J42,"")</f>
        <v/>
      </c>
      <c r="L42" s="0" t="str">
        <f aca="false">IF(AND(J42&lt;&gt;"",J42&lt;&gt;0),K42/J42,"")</f>
        <v/>
      </c>
      <c r="M42" s="0" t="str">
        <f aca="false">IF(E42&lt;&gt;"",IF((DATEVALUE(E42)-DATEVALUE(D42))&gt;365,"Long Term","Short Term"),"")</f>
        <v/>
      </c>
    </row>
    <row r="43" customFormat="false" ht="15" hidden="false" customHeight="false" outlineLevel="0" collapsed="false">
      <c r="I43" s="0" t="str">
        <f aca="false">IF(F43&lt;&gt;"",F43*G43,"")</f>
        <v/>
      </c>
      <c r="J43" s="0" t="str">
        <f aca="false">IF(F43&lt;&gt;"",F43*H43,"")</f>
        <v/>
      </c>
      <c r="K43" s="0" t="str">
        <f aca="false">IF(J43&lt;&gt;"",I43-J43,"")</f>
        <v/>
      </c>
      <c r="L43" s="0" t="str">
        <f aca="false">IF(AND(J43&lt;&gt;"",J43&lt;&gt;0),K43/J43,"")</f>
        <v/>
      </c>
      <c r="M43" s="0" t="str">
        <f aca="false">IF(E43&lt;&gt;"",IF((DATEVALUE(E43)-DATEVALUE(D43))&gt;365,"Long Term","Short Term"),"")</f>
        <v/>
      </c>
    </row>
    <row r="44" customFormat="false" ht="15" hidden="false" customHeight="false" outlineLevel="0" collapsed="false">
      <c r="I44" s="0" t="str">
        <f aca="false">IF(F44&lt;&gt;"",F44*G44,"")</f>
        <v/>
      </c>
      <c r="J44" s="0" t="str">
        <f aca="false">IF(F44&lt;&gt;"",F44*H44,"")</f>
        <v/>
      </c>
      <c r="K44" s="0" t="str">
        <f aca="false">IF(J44&lt;&gt;"",I44-J44,"")</f>
        <v/>
      </c>
      <c r="L44" s="0" t="str">
        <f aca="false">IF(AND(J44&lt;&gt;"",J44&lt;&gt;0),K44/J44,"")</f>
        <v/>
      </c>
      <c r="M44" s="0" t="str">
        <f aca="false">IF(E44&lt;&gt;"",IF((DATEVALUE(E44)-DATEVALUE(D44))&gt;365,"Long Term","Short Term"),"")</f>
        <v/>
      </c>
    </row>
    <row r="45" customFormat="false" ht="15" hidden="false" customHeight="false" outlineLevel="0" collapsed="false">
      <c r="I45" s="0" t="str">
        <f aca="false">IF(F45&lt;&gt;"",F45*G45,"")</f>
        <v/>
      </c>
      <c r="J45" s="0" t="str">
        <f aca="false">IF(F45&lt;&gt;"",F45*H45,"")</f>
        <v/>
      </c>
      <c r="K45" s="0" t="str">
        <f aca="false">IF(J45&lt;&gt;"",I45-J45,"")</f>
        <v/>
      </c>
      <c r="L45" s="0" t="str">
        <f aca="false">IF(AND(J45&lt;&gt;"",J45&lt;&gt;0),K45/J45,"")</f>
        <v/>
      </c>
      <c r="M45" s="0" t="str">
        <f aca="false">IF(E45&lt;&gt;"",IF((DATEVALUE(E45)-DATEVALUE(D45))&gt;365,"Long Term","Short Term"),"")</f>
        <v/>
      </c>
    </row>
    <row r="46" customFormat="false" ht="15" hidden="false" customHeight="false" outlineLevel="0" collapsed="false">
      <c r="I46" s="0" t="str">
        <f aca="false">IF(F46&lt;&gt;"",F46*G46,"")</f>
        <v/>
      </c>
      <c r="J46" s="0" t="str">
        <f aca="false">IF(F46&lt;&gt;"",F46*H46,"")</f>
        <v/>
      </c>
      <c r="K46" s="0" t="str">
        <f aca="false">IF(J46&lt;&gt;"",I46-J46,"")</f>
        <v/>
      </c>
      <c r="L46" s="0" t="str">
        <f aca="false">IF(AND(J46&lt;&gt;"",J46&lt;&gt;0),K46/J46,"")</f>
        <v/>
      </c>
      <c r="M46" s="0" t="str">
        <f aca="false">IF(E46&lt;&gt;"",IF((DATEVALUE(E46)-DATEVALUE(D46))&gt;365,"Long Term","Short Term"),"")</f>
        <v/>
      </c>
    </row>
    <row r="47" customFormat="false" ht="15" hidden="false" customHeight="false" outlineLevel="0" collapsed="false">
      <c r="I47" s="0" t="str">
        <f aca="false">IF(F47&lt;&gt;"",F47*G47,"")</f>
        <v/>
      </c>
      <c r="J47" s="0" t="str">
        <f aca="false">IF(F47&lt;&gt;"",F47*H47,"")</f>
        <v/>
      </c>
      <c r="K47" s="0" t="str">
        <f aca="false">IF(J47&lt;&gt;"",I47-J47,"")</f>
        <v/>
      </c>
      <c r="L47" s="0" t="str">
        <f aca="false">IF(AND(J47&lt;&gt;"",J47&lt;&gt;0),K47/J47,"")</f>
        <v/>
      </c>
      <c r="M47" s="0" t="str">
        <f aca="false">IF(E47&lt;&gt;"",IF((DATEVALUE(E47)-DATEVALUE(D47))&gt;365,"Long Term","Short Term"),"")</f>
        <v/>
      </c>
    </row>
    <row r="48" customFormat="false" ht="15" hidden="false" customHeight="false" outlineLevel="0" collapsed="false">
      <c r="I48" s="0" t="str">
        <f aca="false">IF(F48&lt;&gt;"",F48*G48,"")</f>
        <v/>
      </c>
      <c r="J48" s="0" t="str">
        <f aca="false">IF(F48&lt;&gt;"",F48*H48,"")</f>
        <v/>
      </c>
      <c r="K48" s="0" t="str">
        <f aca="false">IF(J48&lt;&gt;"",I48-J48,"")</f>
        <v/>
      </c>
      <c r="L48" s="0" t="str">
        <f aca="false">IF(AND(J48&lt;&gt;"",J48&lt;&gt;0),K48/J48,"")</f>
        <v/>
      </c>
      <c r="M48" s="0" t="str">
        <f aca="false">IF(E48&lt;&gt;"",IF((DATEVALUE(E48)-DATEVALUE(D48))&gt;365,"Long Term","Short Term"),"")</f>
        <v/>
      </c>
    </row>
    <row r="49" customFormat="false" ht="15" hidden="false" customHeight="false" outlineLevel="0" collapsed="false">
      <c r="I49" s="0" t="str">
        <f aca="false">IF(F49&lt;&gt;"",F49*G49,"")</f>
        <v/>
      </c>
      <c r="J49" s="0" t="str">
        <f aca="false">IF(F49&lt;&gt;"",F49*H49,"")</f>
        <v/>
      </c>
      <c r="K49" s="0" t="str">
        <f aca="false">IF(J49&lt;&gt;"",I49-J49,"")</f>
        <v/>
      </c>
      <c r="L49" s="0" t="str">
        <f aca="false">IF(AND(J49&lt;&gt;"",J49&lt;&gt;0),K49/J49,"")</f>
        <v/>
      </c>
      <c r="M49" s="0" t="str">
        <f aca="false">IF(E49&lt;&gt;"",IF((DATEVALUE(E49)-DATEVALUE(D49))&gt;365,"Long Term","Short Term"),"")</f>
        <v/>
      </c>
    </row>
    <row r="50" customFormat="false" ht="15" hidden="false" customHeight="false" outlineLevel="0" collapsed="false">
      <c r="I50" s="0" t="str">
        <f aca="false">IF(F50&lt;&gt;"",F50*G50,"")</f>
        <v/>
      </c>
      <c r="J50" s="0" t="str">
        <f aca="false">IF(F50&lt;&gt;"",F50*H50,"")</f>
        <v/>
      </c>
      <c r="K50" s="0" t="str">
        <f aca="false">IF(J50&lt;&gt;"",I50-J50,"")</f>
        <v/>
      </c>
      <c r="L50" s="0" t="str">
        <f aca="false">IF(AND(J50&lt;&gt;"",J50&lt;&gt;0),K50/J50,"")</f>
        <v/>
      </c>
      <c r="M50" s="0" t="str">
        <f aca="false">IF(E50&lt;&gt;"",IF((DATEVALUE(E50)-DATEVALUE(D50))&gt;365,"Long Term","Short Term"),"")</f>
        <v/>
      </c>
    </row>
    <row r="51" customFormat="false" ht="15" hidden="false" customHeight="false" outlineLevel="0" collapsed="false">
      <c r="I51" s="0" t="str">
        <f aca="false">IF(F51&lt;&gt;"",F51*G51,"")</f>
        <v/>
      </c>
      <c r="J51" s="0" t="str">
        <f aca="false">IF(F51&lt;&gt;"",F51*H51,"")</f>
        <v/>
      </c>
      <c r="K51" s="0" t="str">
        <f aca="false">IF(J51&lt;&gt;"",I51-J51,"")</f>
        <v/>
      </c>
      <c r="L51" s="0" t="str">
        <f aca="false">IF(AND(J51&lt;&gt;"",J51&lt;&gt;0),K51/J51,"")</f>
        <v/>
      </c>
      <c r="M51" s="0" t="str">
        <f aca="false">IF(E51&lt;&gt;"",IF((DATEVALUE(E51)-DATEVALUE(D51))&gt;365,"Long Term","Short Term"),"")</f>
        <v/>
      </c>
    </row>
    <row r="52" customFormat="false" ht="15" hidden="false" customHeight="false" outlineLevel="0" collapsed="false">
      <c r="I52" s="0" t="str">
        <f aca="false">IF(F52&lt;&gt;"",F52*G52,"")</f>
        <v/>
      </c>
      <c r="J52" s="0" t="str">
        <f aca="false">IF(F52&lt;&gt;"",F52*H52,"")</f>
        <v/>
      </c>
      <c r="K52" s="0" t="str">
        <f aca="false">IF(J52&lt;&gt;"",I52-J52,"")</f>
        <v/>
      </c>
      <c r="L52" s="0" t="str">
        <f aca="false">IF(AND(J52&lt;&gt;"",J52&lt;&gt;0),K52/J52,"")</f>
        <v/>
      </c>
      <c r="M52" s="0" t="str">
        <f aca="false">IF(E52&lt;&gt;"",IF((DATEVALUE(E52)-DATEVALUE(D52))&gt;365,"Long Term","Short Term"),"")</f>
        <v/>
      </c>
    </row>
    <row r="53" customFormat="false" ht="15" hidden="false" customHeight="false" outlineLevel="0" collapsed="false">
      <c r="I53" s="0" t="str">
        <f aca="false">IF(F53&lt;&gt;"",F53*G53,"")</f>
        <v/>
      </c>
      <c r="J53" s="0" t="str">
        <f aca="false">IF(F53&lt;&gt;"",F53*H53,"")</f>
        <v/>
      </c>
      <c r="K53" s="0" t="str">
        <f aca="false">IF(J53&lt;&gt;"",I53-J53,"")</f>
        <v/>
      </c>
      <c r="L53" s="0" t="str">
        <f aca="false">IF(AND(J53&lt;&gt;"",J53&lt;&gt;0),K53/J53,"")</f>
        <v/>
      </c>
      <c r="M53" s="0" t="str">
        <f aca="false">IF(E53&lt;&gt;"",IF((DATEVALUE(E53)-DATEVALUE(D53))&gt;365,"Long Term","Short Term"),"")</f>
        <v/>
      </c>
    </row>
    <row r="54" customFormat="false" ht="15" hidden="false" customHeight="false" outlineLevel="0" collapsed="false">
      <c r="I54" s="0" t="str">
        <f aca="false">IF(F54&lt;&gt;"",F54*G54,"")</f>
        <v/>
      </c>
      <c r="J54" s="0" t="str">
        <f aca="false">IF(F54&lt;&gt;"",F54*H54,"")</f>
        <v/>
      </c>
      <c r="K54" s="0" t="str">
        <f aca="false">IF(J54&lt;&gt;"",I54-J54,"")</f>
        <v/>
      </c>
      <c r="L54" s="0" t="str">
        <f aca="false">IF(AND(J54&lt;&gt;"",J54&lt;&gt;0),K54/J54,"")</f>
        <v/>
      </c>
      <c r="M54" s="0" t="str">
        <f aca="false">IF(E54&lt;&gt;"",IF((DATEVALUE(E54)-DATEVALUE(D54))&gt;365,"Long Term","Short Term"),"")</f>
        <v/>
      </c>
    </row>
    <row r="55" customFormat="false" ht="15" hidden="false" customHeight="false" outlineLevel="0" collapsed="false">
      <c r="I55" s="0" t="str">
        <f aca="false">IF(F55&lt;&gt;"",F55*G55,"")</f>
        <v/>
      </c>
      <c r="J55" s="0" t="str">
        <f aca="false">IF(F55&lt;&gt;"",F55*H55,"")</f>
        <v/>
      </c>
      <c r="K55" s="0" t="str">
        <f aca="false">IF(J55&lt;&gt;"",I55-J55,"")</f>
        <v/>
      </c>
      <c r="L55" s="0" t="str">
        <f aca="false">IF(AND(J55&lt;&gt;"",J55&lt;&gt;0),K55/J55,"")</f>
        <v/>
      </c>
      <c r="M55" s="0" t="str">
        <f aca="false">IF(E55&lt;&gt;"",IF((DATEVALUE(E55)-DATEVALUE(D55))&gt;365,"Long Term","Short Term"),"")</f>
        <v/>
      </c>
    </row>
    <row r="56" customFormat="false" ht="15" hidden="false" customHeight="false" outlineLevel="0" collapsed="false">
      <c r="I56" s="0" t="str">
        <f aca="false">IF(F56&lt;&gt;"",F56*G56,"")</f>
        <v/>
      </c>
      <c r="J56" s="0" t="str">
        <f aca="false">IF(F56&lt;&gt;"",F56*H56,"")</f>
        <v/>
      </c>
      <c r="K56" s="0" t="str">
        <f aca="false">IF(J56&lt;&gt;"",I56-J56,"")</f>
        <v/>
      </c>
      <c r="L56" s="0" t="str">
        <f aca="false">IF(AND(J56&lt;&gt;"",J56&lt;&gt;0),K56/J56,"")</f>
        <v/>
      </c>
      <c r="M56" s="0" t="str">
        <f aca="false">IF(E56&lt;&gt;"",IF((DATEVALUE(E56)-DATEVALUE(D56))&gt;365,"Long Term","Short Term"),"")</f>
        <v/>
      </c>
    </row>
    <row r="57" customFormat="false" ht="15" hidden="false" customHeight="false" outlineLevel="0" collapsed="false">
      <c r="I57" s="0" t="str">
        <f aca="false">IF(F57&lt;&gt;"",F57*G57,"")</f>
        <v/>
      </c>
      <c r="J57" s="0" t="str">
        <f aca="false">IF(F57&lt;&gt;"",F57*H57,"")</f>
        <v/>
      </c>
      <c r="K57" s="0" t="str">
        <f aca="false">IF(J57&lt;&gt;"",I57-J57,"")</f>
        <v/>
      </c>
      <c r="L57" s="0" t="str">
        <f aca="false">IF(AND(J57&lt;&gt;"",J57&lt;&gt;0),K57/J57,"")</f>
        <v/>
      </c>
      <c r="M57" s="0" t="str">
        <f aca="false">IF(E57&lt;&gt;"",IF((DATEVALUE(E57)-DATEVALUE(D57))&gt;365,"Long Term","Short Term"),"")</f>
        <v/>
      </c>
    </row>
    <row r="58" customFormat="false" ht="15" hidden="false" customHeight="false" outlineLevel="0" collapsed="false">
      <c r="I58" s="0" t="str">
        <f aca="false">IF(F58&lt;&gt;"",F58*G58,"")</f>
        <v/>
      </c>
      <c r="J58" s="0" t="str">
        <f aca="false">IF(F58&lt;&gt;"",F58*H58,"")</f>
        <v/>
      </c>
      <c r="K58" s="0" t="str">
        <f aca="false">IF(J58&lt;&gt;"",I58-J58,"")</f>
        <v/>
      </c>
      <c r="L58" s="0" t="str">
        <f aca="false">IF(AND(J58&lt;&gt;"",J58&lt;&gt;0),K58/J58,"")</f>
        <v/>
      </c>
      <c r="M58" s="0" t="str">
        <f aca="false">IF(E58&lt;&gt;"",IF((DATEVALUE(E58)-DATEVALUE(D58))&gt;365,"Long Term","Short Term"),"")</f>
        <v/>
      </c>
    </row>
    <row r="59" customFormat="false" ht="15" hidden="false" customHeight="false" outlineLevel="0" collapsed="false">
      <c r="I59" s="0" t="str">
        <f aca="false">IF(F59&lt;&gt;"",F59*G59,"")</f>
        <v/>
      </c>
      <c r="J59" s="0" t="str">
        <f aca="false">IF(F59&lt;&gt;"",F59*H59,"")</f>
        <v/>
      </c>
      <c r="K59" s="0" t="str">
        <f aca="false">IF(J59&lt;&gt;"",I59-J59,"")</f>
        <v/>
      </c>
      <c r="L59" s="0" t="str">
        <f aca="false">IF(AND(J59&lt;&gt;"",J59&lt;&gt;0),K59/J59,"")</f>
        <v/>
      </c>
      <c r="M59" s="0" t="str">
        <f aca="false">IF(E59&lt;&gt;"",IF((DATEVALUE(E59)-DATEVALUE(D59))&gt;365,"Long Term","Short Term"),"")</f>
        <v/>
      </c>
    </row>
    <row r="60" customFormat="false" ht="15" hidden="false" customHeight="false" outlineLevel="0" collapsed="false">
      <c r="I60" s="0" t="str">
        <f aca="false">IF(F60&lt;&gt;"",F60*G60,"")</f>
        <v/>
      </c>
      <c r="J60" s="0" t="str">
        <f aca="false">IF(F60&lt;&gt;"",F60*H60,"")</f>
        <v/>
      </c>
      <c r="K60" s="0" t="str">
        <f aca="false">IF(J60&lt;&gt;"",I60-J60,"")</f>
        <v/>
      </c>
      <c r="L60" s="0" t="str">
        <f aca="false">IF(AND(J60&lt;&gt;"",J60&lt;&gt;0),K60/J60,"")</f>
        <v/>
      </c>
      <c r="M60" s="0" t="str">
        <f aca="false">IF(E60&lt;&gt;"",IF((DATEVALUE(E60)-DATEVALUE(D60))&gt;365,"Long Term","Short Term"),"")</f>
        <v/>
      </c>
    </row>
    <row r="61" customFormat="false" ht="15" hidden="false" customHeight="false" outlineLevel="0" collapsed="false">
      <c r="I61" s="0" t="str">
        <f aca="false">IF(F61&lt;&gt;"",F61*G61,"")</f>
        <v/>
      </c>
      <c r="J61" s="0" t="str">
        <f aca="false">IF(F61&lt;&gt;"",F61*H61,"")</f>
        <v/>
      </c>
      <c r="K61" s="0" t="str">
        <f aca="false">IF(J61&lt;&gt;"",I61-J61,"")</f>
        <v/>
      </c>
      <c r="L61" s="0" t="str">
        <f aca="false">IF(AND(J61&lt;&gt;"",J61&lt;&gt;0),K61/J61,"")</f>
        <v/>
      </c>
      <c r="M61" s="0" t="str">
        <f aca="false">IF(E61&lt;&gt;"",IF((DATEVALUE(E61)-DATEVALUE(D61))&gt;365,"Long Term","Short Term"),"")</f>
        <v/>
      </c>
    </row>
    <row r="62" customFormat="false" ht="15" hidden="false" customHeight="false" outlineLevel="0" collapsed="false">
      <c r="I62" s="0" t="str">
        <f aca="false">IF(F62&lt;&gt;"",F62*G62,"")</f>
        <v/>
      </c>
      <c r="J62" s="0" t="str">
        <f aca="false">IF(F62&lt;&gt;"",F62*H62,"")</f>
        <v/>
      </c>
      <c r="K62" s="0" t="str">
        <f aca="false">IF(J62&lt;&gt;"",I62-J62,"")</f>
        <v/>
      </c>
      <c r="L62" s="0" t="str">
        <f aca="false">IF(AND(J62&lt;&gt;"",J62&lt;&gt;0),K62/J62,"")</f>
        <v/>
      </c>
      <c r="M62" s="0" t="str">
        <f aca="false">IF(E62&lt;&gt;"",IF((DATEVALUE(E62)-DATEVALUE(D62))&gt;365,"Long Term","Short Term"),"")</f>
        <v/>
      </c>
    </row>
    <row r="63" customFormat="false" ht="15" hidden="false" customHeight="false" outlineLevel="0" collapsed="false">
      <c r="I63" s="0" t="str">
        <f aca="false">IF(F63&lt;&gt;"",F63*G63,"")</f>
        <v/>
      </c>
      <c r="J63" s="0" t="str">
        <f aca="false">IF(F63&lt;&gt;"",F63*H63,"")</f>
        <v/>
      </c>
      <c r="K63" s="0" t="str">
        <f aca="false">IF(J63&lt;&gt;"",I63-J63,"")</f>
        <v/>
      </c>
      <c r="L63" s="0" t="str">
        <f aca="false">IF(AND(J63&lt;&gt;"",J63&lt;&gt;0),K63/J63,"")</f>
        <v/>
      </c>
      <c r="M63" s="0" t="str">
        <f aca="false">IF(E63&lt;&gt;"",IF((DATEVALUE(E63)-DATEVALUE(D63))&gt;365,"Long Term","Short Term"),"")</f>
        <v/>
      </c>
    </row>
    <row r="64" customFormat="false" ht="15" hidden="false" customHeight="false" outlineLevel="0" collapsed="false">
      <c r="I64" s="0" t="str">
        <f aca="false">IF(F64&lt;&gt;"",F64*G64,"")</f>
        <v/>
      </c>
      <c r="J64" s="0" t="str">
        <f aca="false">IF(F64&lt;&gt;"",F64*H64,"")</f>
        <v/>
      </c>
      <c r="K64" s="0" t="str">
        <f aca="false">IF(J64&lt;&gt;"",I64-J64,"")</f>
        <v/>
      </c>
      <c r="L64" s="0" t="str">
        <f aca="false">IF(AND(J64&lt;&gt;"",J64&lt;&gt;0),K64/J64,"")</f>
        <v/>
      </c>
      <c r="M64" s="0" t="str">
        <f aca="false">IF(E64&lt;&gt;"",IF((DATEVALUE(E64)-DATEVALUE(D64))&gt;365,"Long Term","Short Term"),"")</f>
        <v/>
      </c>
    </row>
    <row r="65" customFormat="false" ht="15" hidden="false" customHeight="false" outlineLevel="0" collapsed="false">
      <c r="I65" s="0" t="str">
        <f aca="false">IF(F65&lt;&gt;"",F65*G65,"")</f>
        <v/>
      </c>
      <c r="J65" s="0" t="str">
        <f aca="false">IF(F65&lt;&gt;"",F65*H65,"")</f>
        <v/>
      </c>
      <c r="K65" s="0" t="str">
        <f aca="false">IF(J65&lt;&gt;"",I65-J65,"")</f>
        <v/>
      </c>
      <c r="L65" s="0" t="str">
        <f aca="false">IF(AND(J65&lt;&gt;"",J65&lt;&gt;0),K65/J65,"")</f>
        <v/>
      </c>
      <c r="M65" s="0" t="str">
        <f aca="false">IF(E65&lt;&gt;"",IF((DATEVALUE(E65)-DATEVALUE(D65))&gt;365,"Long Term","Short Term"),"")</f>
        <v/>
      </c>
    </row>
    <row r="66" customFormat="false" ht="15" hidden="false" customHeight="false" outlineLevel="0" collapsed="false">
      <c r="I66" s="0" t="str">
        <f aca="false">IF(F66&lt;&gt;"",F66*G66,"")</f>
        <v/>
      </c>
      <c r="J66" s="0" t="str">
        <f aca="false">IF(F66&lt;&gt;"",F66*H66,"")</f>
        <v/>
      </c>
      <c r="K66" s="0" t="str">
        <f aca="false">IF(J66&lt;&gt;"",I66-J66,"")</f>
        <v/>
      </c>
      <c r="L66" s="0" t="str">
        <f aca="false">IF(AND(J66&lt;&gt;"",J66&lt;&gt;0),K66/J66,"")</f>
        <v/>
      </c>
      <c r="M66" s="0" t="str">
        <f aca="false">IF(E66&lt;&gt;"",IF((DATEVALUE(E66)-DATEVALUE(D66))&gt;365,"Long Term","Short Term"),"")</f>
        <v/>
      </c>
    </row>
    <row r="67" customFormat="false" ht="15" hidden="false" customHeight="false" outlineLevel="0" collapsed="false">
      <c r="I67" s="0" t="str">
        <f aca="false">IF(F67&lt;&gt;"",F67*G67,"")</f>
        <v/>
      </c>
      <c r="J67" s="0" t="str">
        <f aca="false">IF(F67&lt;&gt;"",F67*H67,"")</f>
        <v/>
      </c>
      <c r="K67" s="0" t="str">
        <f aca="false">IF(J67&lt;&gt;"",I67-J67,"")</f>
        <v/>
      </c>
      <c r="L67" s="0" t="str">
        <f aca="false">IF(AND(J67&lt;&gt;"",J67&lt;&gt;0),K67/J67,"")</f>
        <v/>
      </c>
      <c r="M67" s="0" t="str">
        <f aca="false">IF(E67&lt;&gt;"",IF((DATEVALUE(E67)-DATEVALUE(D67))&gt;365,"Long Term","Short Term"),"")</f>
        <v/>
      </c>
    </row>
    <row r="68" customFormat="false" ht="15" hidden="false" customHeight="false" outlineLevel="0" collapsed="false">
      <c r="I68" s="0" t="str">
        <f aca="false">IF(F68&lt;&gt;"",F68*G68,"")</f>
        <v/>
      </c>
      <c r="J68" s="0" t="str">
        <f aca="false">IF(F68&lt;&gt;"",F68*H68,"")</f>
        <v/>
      </c>
      <c r="K68" s="0" t="str">
        <f aca="false">IF(J68&lt;&gt;"",I68-J68,"")</f>
        <v/>
      </c>
      <c r="L68" s="0" t="str">
        <f aca="false">IF(AND(J68&lt;&gt;"",J68&lt;&gt;0),K68/J68,"")</f>
        <v/>
      </c>
      <c r="M68" s="0" t="str">
        <f aca="false">IF(E68&lt;&gt;"",IF((DATEVALUE(E68)-DATEVALUE(D68))&gt;365,"Long Term","Short Term"),"")</f>
        <v/>
      </c>
    </row>
    <row r="69" customFormat="false" ht="15" hidden="false" customHeight="false" outlineLevel="0" collapsed="false">
      <c r="I69" s="0" t="str">
        <f aca="false">IF(F69&lt;&gt;"",F69*G69,"")</f>
        <v/>
      </c>
      <c r="J69" s="0" t="str">
        <f aca="false">IF(F69&lt;&gt;"",F69*H69,"")</f>
        <v/>
      </c>
      <c r="K69" s="0" t="str">
        <f aca="false">IF(J69&lt;&gt;"",I69-J69,"")</f>
        <v/>
      </c>
      <c r="L69" s="0" t="str">
        <f aca="false">IF(AND(J69&lt;&gt;"",J69&lt;&gt;0),K69/J69,"")</f>
        <v/>
      </c>
      <c r="M69" s="0" t="str">
        <f aca="false">IF(E69&lt;&gt;"",IF((DATEVALUE(E69)-DATEVALUE(D69))&gt;365,"Long Term","Short Term"),"")</f>
        <v/>
      </c>
    </row>
    <row r="70" customFormat="false" ht="15" hidden="false" customHeight="false" outlineLevel="0" collapsed="false">
      <c r="I70" s="0" t="str">
        <f aca="false">IF(F70&lt;&gt;"",F70*G70,"")</f>
        <v/>
      </c>
      <c r="J70" s="0" t="str">
        <f aca="false">IF(F70&lt;&gt;"",F70*H70,"")</f>
        <v/>
      </c>
      <c r="K70" s="0" t="str">
        <f aca="false">IF(J70&lt;&gt;"",I70-J70,"")</f>
        <v/>
      </c>
      <c r="L70" s="0" t="str">
        <f aca="false">IF(AND(J70&lt;&gt;"",J70&lt;&gt;0),K70/J70,"")</f>
        <v/>
      </c>
      <c r="M70" s="0" t="str">
        <f aca="false">IF(E70&lt;&gt;"",IF((DATEVALUE(E70)-DATEVALUE(D70))&gt;365,"Long Term","Short Term"),"")</f>
        <v/>
      </c>
    </row>
    <row r="71" customFormat="false" ht="15" hidden="false" customHeight="false" outlineLevel="0" collapsed="false">
      <c r="I71" s="0" t="str">
        <f aca="false">IF(F71&lt;&gt;"",F71*G71,"")</f>
        <v/>
      </c>
      <c r="J71" s="0" t="str">
        <f aca="false">IF(F71&lt;&gt;"",F71*H71,"")</f>
        <v/>
      </c>
      <c r="K71" s="0" t="str">
        <f aca="false">IF(J71&lt;&gt;"",I71-J71,"")</f>
        <v/>
      </c>
      <c r="L71" s="0" t="str">
        <f aca="false">IF(AND(J71&lt;&gt;"",J71&lt;&gt;0),K71/J71,"")</f>
        <v/>
      </c>
      <c r="M71" s="0" t="str">
        <f aca="false">IF(E71&lt;&gt;"",IF((DATEVALUE(E71)-DATEVALUE(D71))&gt;365,"Long Term","Short Term"),"")</f>
        <v/>
      </c>
    </row>
    <row r="72" customFormat="false" ht="15" hidden="false" customHeight="false" outlineLevel="0" collapsed="false">
      <c r="I72" s="0" t="str">
        <f aca="false">IF(F72&lt;&gt;"",F72*G72,"")</f>
        <v/>
      </c>
      <c r="J72" s="0" t="str">
        <f aca="false">IF(F72&lt;&gt;"",F72*H72,"")</f>
        <v/>
      </c>
      <c r="K72" s="0" t="str">
        <f aca="false">IF(J72&lt;&gt;"",I72-J72,"")</f>
        <v/>
      </c>
      <c r="L72" s="0" t="str">
        <f aca="false">IF(AND(J72&lt;&gt;"",J72&lt;&gt;0),K72/J72,"")</f>
        <v/>
      </c>
      <c r="M72" s="0" t="str">
        <f aca="false">IF(E72&lt;&gt;"",IF((DATEVALUE(E72)-DATEVALUE(D72))&gt;365,"Long Term","Short Term"),"")</f>
        <v/>
      </c>
    </row>
    <row r="73" customFormat="false" ht="15" hidden="false" customHeight="false" outlineLevel="0" collapsed="false">
      <c r="I73" s="0" t="str">
        <f aca="false">IF(F73&lt;&gt;"",F73*G73,"")</f>
        <v/>
      </c>
      <c r="J73" s="0" t="str">
        <f aca="false">IF(F73&lt;&gt;"",F73*H73,"")</f>
        <v/>
      </c>
      <c r="K73" s="0" t="str">
        <f aca="false">IF(J73&lt;&gt;"",I73-J73,"")</f>
        <v/>
      </c>
      <c r="L73" s="0" t="str">
        <f aca="false">IF(AND(J73&lt;&gt;"",J73&lt;&gt;0),K73/J73,"")</f>
        <v/>
      </c>
      <c r="M73" s="0" t="str">
        <f aca="false">IF(E73&lt;&gt;"",IF((DATEVALUE(E73)-DATEVALUE(D73))&gt;365,"Long Term","Short Term"),"")</f>
        <v/>
      </c>
    </row>
    <row r="74" customFormat="false" ht="15" hidden="false" customHeight="false" outlineLevel="0" collapsed="false">
      <c r="I74" s="0" t="str">
        <f aca="false">IF(F74&lt;&gt;"",F74*G74,"")</f>
        <v/>
      </c>
      <c r="J74" s="0" t="str">
        <f aca="false">IF(F74&lt;&gt;"",F74*H74,"")</f>
        <v/>
      </c>
      <c r="K74" s="0" t="str">
        <f aca="false">IF(J74&lt;&gt;"",I74-J74,"")</f>
        <v/>
      </c>
      <c r="L74" s="0" t="str">
        <f aca="false">IF(AND(J74&lt;&gt;"",J74&lt;&gt;0),K74/J74,"")</f>
        <v/>
      </c>
      <c r="M74" s="0" t="str">
        <f aca="false">IF(E74&lt;&gt;"",IF((DATEVALUE(E74)-DATEVALUE(D74))&gt;365,"Long Term","Short Term"),"")</f>
        <v/>
      </c>
    </row>
    <row r="75" customFormat="false" ht="15" hidden="false" customHeight="false" outlineLevel="0" collapsed="false">
      <c r="I75" s="0" t="str">
        <f aca="false">IF(F75&lt;&gt;"",F75*G75,"")</f>
        <v/>
      </c>
      <c r="J75" s="0" t="str">
        <f aca="false">IF(F75&lt;&gt;"",F75*H75,"")</f>
        <v/>
      </c>
      <c r="K75" s="0" t="str">
        <f aca="false">IF(J75&lt;&gt;"",I75-J75,"")</f>
        <v/>
      </c>
      <c r="L75" s="0" t="str">
        <f aca="false">IF(AND(J75&lt;&gt;"",J75&lt;&gt;0),K75/J75,"")</f>
        <v/>
      </c>
      <c r="M75" s="0" t="str">
        <f aca="false">IF(E75&lt;&gt;"",IF((DATEVALUE(E75)-DATEVALUE(D75))&gt;365,"Long Term","Short Term"),"")</f>
        <v/>
      </c>
    </row>
    <row r="76" customFormat="false" ht="15" hidden="false" customHeight="false" outlineLevel="0" collapsed="false">
      <c r="I76" s="0" t="str">
        <f aca="false">IF(F76&lt;&gt;"",F76*G76,"")</f>
        <v/>
      </c>
      <c r="J76" s="0" t="str">
        <f aca="false">IF(F76&lt;&gt;"",F76*H76,"")</f>
        <v/>
      </c>
      <c r="K76" s="0" t="str">
        <f aca="false">IF(J76&lt;&gt;"",I76-J76,"")</f>
        <v/>
      </c>
      <c r="L76" s="0" t="str">
        <f aca="false">IF(AND(J76&lt;&gt;"",J76&lt;&gt;0),K76/J76,"")</f>
        <v/>
      </c>
      <c r="M76" s="0" t="str">
        <f aca="false">IF(E76&lt;&gt;"",IF((DATEVALUE(E76)-DATEVALUE(D76))&gt;365,"Long Term","Short Term"),"")</f>
        <v/>
      </c>
    </row>
    <row r="77" customFormat="false" ht="15" hidden="false" customHeight="false" outlineLevel="0" collapsed="false">
      <c r="I77" s="0" t="str">
        <f aca="false">IF(F77&lt;&gt;"",F77*G77,"")</f>
        <v/>
      </c>
      <c r="J77" s="0" t="str">
        <f aca="false">IF(F77&lt;&gt;"",F77*H77,"")</f>
        <v/>
      </c>
      <c r="K77" s="0" t="str">
        <f aca="false">IF(J77&lt;&gt;"",I77-J77,"")</f>
        <v/>
      </c>
      <c r="L77" s="0" t="str">
        <f aca="false">IF(AND(J77&lt;&gt;"",J77&lt;&gt;0),K77/J77,"")</f>
        <v/>
      </c>
      <c r="M77" s="0" t="str">
        <f aca="false">IF(E77&lt;&gt;"",IF((DATEVALUE(E77)-DATEVALUE(D77))&gt;365,"Long Term","Short Term"),"")</f>
        <v/>
      </c>
    </row>
    <row r="78" customFormat="false" ht="15" hidden="false" customHeight="false" outlineLevel="0" collapsed="false">
      <c r="I78" s="0" t="str">
        <f aca="false">IF(F78&lt;&gt;"",F78*G78,"")</f>
        <v/>
      </c>
      <c r="J78" s="0" t="str">
        <f aca="false">IF(F78&lt;&gt;"",F78*H78,"")</f>
        <v/>
      </c>
      <c r="K78" s="0" t="str">
        <f aca="false">IF(J78&lt;&gt;"",I78-J78,"")</f>
        <v/>
      </c>
      <c r="L78" s="0" t="str">
        <f aca="false">IF(AND(J78&lt;&gt;"",J78&lt;&gt;0),K78/J78,"")</f>
        <v/>
      </c>
      <c r="M78" s="0" t="str">
        <f aca="false">IF(E78&lt;&gt;"",IF((DATEVALUE(E78)-DATEVALUE(D78))&gt;365,"Long Term","Short Term"),"")</f>
        <v/>
      </c>
    </row>
    <row r="79" customFormat="false" ht="15" hidden="false" customHeight="false" outlineLevel="0" collapsed="false">
      <c r="I79" s="0" t="str">
        <f aca="false">IF(F79&lt;&gt;"",F79*G79,"")</f>
        <v/>
      </c>
      <c r="J79" s="0" t="str">
        <f aca="false">IF(F79&lt;&gt;"",F79*H79,"")</f>
        <v/>
      </c>
      <c r="K79" s="0" t="str">
        <f aca="false">IF(J79&lt;&gt;"",I79-J79,"")</f>
        <v/>
      </c>
      <c r="L79" s="0" t="str">
        <f aca="false">IF(AND(J79&lt;&gt;"",J79&lt;&gt;0),K79/J79,"")</f>
        <v/>
      </c>
      <c r="M79" s="0" t="str">
        <f aca="false">IF(E79&lt;&gt;"",IF((DATEVALUE(E79)-DATEVALUE(D79))&gt;365,"Long Term","Short Term"),"")</f>
        <v/>
      </c>
    </row>
    <row r="80" customFormat="false" ht="15" hidden="false" customHeight="false" outlineLevel="0" collapsed="false">
      <c r="I80" s="0" t="str">
        <f aca="false">IF(F80&lt;&gt;"",F80*G80,"")</f>
        <v/>
      </c>
      <c r="J80" s="0" t="str">
        <f aca="false">IF(F80&lt;&gt;"",F80*H80,"")</f>
        <v/>
      </c>
      <c r="K80" s="0" t="str">
        <f aca="false">IF(J80&lt;&gt;"",I80-J80,"")</f>
        <v/>
      </c>
      <c r="L80" s="0" t="str">
        <f aca="false">IF(AND(J80&lt;&gt;"",J80&lt;&gt;0),K80/J80,"")</f>
        <v/>
      </c>
      <c r="M80" s="0" t="str">
        <f aca="false">IF(E80&lt;&gt;"",IF((DATEVALUE(E80)-DATEVALUE(D80))&gt;365,"Long Term","Short Term"),"")</f>
        <v/>
      </c>
    </row>
    <row r="81" customFormat="false" ht="15" hidden="false" customHeight="false" outlineLevel="0" collapsed="false">
      <c r="I81" s="0" t="str">
        <f aca="false">IF(F81&lt;&gt;"",F81*G81,"")</f>
        <v/>
      </c>
      <c r="J81" s="0" t="str">
        <f aca="false">IF(F81&lt;&gt;"",F81*H81,"")</f>
        <v/>
      </c>
      <c r="K81" s="0" t="str">
        <f aca="false">IF(J81&lt;&gt;"",I81-J81,"")</f>
        <v/>
      </c>
      <c r="L81" s="0" t="str">
        <f aca="false">IF(AND(J81&lt;&gt;"",J81&lt;&gt;0),K81/J81,"")</f>
        <v/>
      </c>
      <c r="M81" s="0" t="str">
        <f aca="false">IF(E81&lt;&gt;"",IF((DATEVALUE(E81)-DATEVALUE(D81))&gt;365,"Long Term","Short Term"),"")</f>
        <v/>
      </c>
    </row>
    <row r="82" customFormat="false" ht="15" hidden="false" customHeight="false" outlineLevel="0" collapsed="false">
      <c r="I82" s="0" t="str">
        <f aca="false">IF(F82&lt;&gt;"",F82*G82,"")</f>
        <v/>
      </c>
      <c r="J82" s="0" t="str">
        <f aca="false">IF(F82&lt;&gt;"",F82*H82,"")</f>
        <v/>
      </c>
      <c r="K82" s="0" t="str">
        <f aca="false">IF(J82&lt;&gt;"",I82-J82,"")</f>
        <v/>
      </c>
      <c r="L82" s="0" t="str">
        <f aca="false">IF(AND(J82&lt;&gt;"",J82&lt;&gt;0),K82/J82,"")</f>
        <v/>
      </c>
      <c r="M82" s="0" t="str">
        <f aca="false">IF(E82&lt;&gt;"",IF((DATEVALUE(E82)-DATEVALUE(D82))&gt;365,"Long Term","Short Term"),"")</f>
        <v/>
      </c>
    </row>
    <row r="83" customFormat="false" ht="15" hidden="false" customHeight="false" outlineLevel="0" collapsed="false">
      <c r="I83" s="0" t="str">
        <f aca="false">IF(F83&lt;&gt;"",F83*G83,"")</f>
        <v/>
      </c>
      <c r="J83" s="0" t="str">
        <f aca="false">IF(F83&lt;&gt;"",F83*H83,"")</f>
        <v/>
      </c>
      <c r="K83" s="0" t="str">
        <f aca="false">IF(J83&lt;&gt;"",I83-J83,"")</f>
        <v/>
      </c>
      <c r="L83" s="0" t="str">
        <f aca="false">IF(AND(J83&lt;&gt;"",J83&lt;&gt;0),K83/J83,"")</f>
        <v/>
      </c>
      <c r="M83" s="0" t="str">
        <f aca="false">IF(E83&lt;&gt;"",IF((DATEVALUE(E83)-DATEVALUE(D83))&gt;365,"Long Term","Short Term"),"")</f>
        <v/>
      </c>
    </row>
    <row r="84" customFormat="false" ht="15" hidden="false" customHeight="false" outlineLevel="0" collapsed="false">
      <c r="I84" s="0" t="str">
        <f aca="false">IF(F84&lt;&gt;"",F84*G84,"")</f>
        <v/>
      </c>
      <c r="J84" s="0" t="str">
        <f aca="false">IF(F84&lt;&gt;"",F84*H84,"")</f>
        <v/>
      </c>
      <c r="K84" s="0" t="str">
        <f aca="false">IF(J84&lt;&gt;"",I84-J84,"")</f>
        <v/>
      </c>
      <c r="L84" s="0" t="str">
        <f aca="false">IF(AND(J84&lt;&gt;"",J84&lt;&gt;0),K84/J84,"")</f>
        <v/>
      </c>
      <c r="M84" s="0" t="str">
        <f aca="false">IF(E84&lt;&gt;"",IF((DATEVALUE(E84)-DATEVALUE(D84))&gt;365,"Long Term","Short Term"),"")</f>
        <v/>
      </c>
    </row>
    <row r="85" customFormat="false" ht="15" hidden="false" customHeight="false" outlineLevel="0" collapsed="false">
      <c r="I85" s="0" t="str">
        <f aca="false">IF(F85&lt;&gt;"",F85*G85,"")</f>
        <v/>
      </c>
      <c r="J85" s="0" t="str">
        <f aca="false">IF(F85&lt;&gt;"",F85*H85,"")</f>
        <v/>
      </c>
      <c r="K85" s="0" t="str">
        <f aca="false">IF(J85&lt;&gt;"",I85-J85,"")</f>
        <v/>
      </c>
      <c r="L85" s="0" t="str">
        <f aca="false">IF(AND(J85&lt;&gt;"",J85&lt;&gt;0),K85/J85,"")</f>
        <v/>
      </c>
      <c r="M85" s="0" t="str">
        <f aca="false">IF(E85&lt;&gt;"",IF((DATEVALUE(E85)-DATEVALUE(D85))&gt;365,"Long Term","Short Term"),"")</f>
        <v/>
      </c>
    </row>
    <row r="86" customFormat="false" ht="15" hidden="false" customHeight="false" outlineLevel="0" collapsed="false">
      <c r="I86" s="0" t="str">
        <f aca="false">IF(F86&lt;&gt;"",F86*G86,"")</f>
        <v/>
      </c>
      <c r="J86" s="0" t="str">
        <f aca="false">IF(F86&lt;&gt;"",F86*H86,"")</f>
        <v/>
      </c>
      <c r="K86" s="0" t="str">
        <f aca="false">IF(J86&lt;&gt;"",I86-J86,"")</f>
        <v/>
      </c>
      <c r="L86" s="0" t="str">
        <f aca="false">IF(AND(J86&lt;&gt;"",J86&lt;&gt;0),K86/J86,"")</f>
        <v/>
      </c>
      <c r="M86" s="0" t="str">
        <f aca="false">IF(E86&lt;&gt;"",IF((DATEVALUE(E86)-DATEVALUE(D86))&gt;365,"Long Term","Short Term"),"")</f>
        <v/>
      </c>
    </row>
    <row r="87" customFormat="false" ht="15" hidden="false" customHeight="false" outlineLevel="0" collapsed="false">
      <c r="I87" s="0" t="str">
        <f aca="false">IF(F87&lt;&gt;"",F87*G87,"")</f>
        <v/>
      </c>
      <c r="J87" s="0" t="str">
        <f aca="false">IF(F87&lt;&gt;"",F87*H87,"")</f>
        <v/>
      </c>
      <c r="K87" s="0" t="str">
        <f aca="false">IF(J87&lt;&gt;"",I87-J87,"")</f>
        <v/>
      </c>
      <c r="L87" s="0" t="str">
        <f aca="false">IF(AND(J87&lt;&gt;"",J87&lt;&gt;0),K87/J87,"")</f>
        <v/>
      </c>
      <c r="M87" s="0" t="str">
        <f aca="false">IF(E87&lt;&gt;"",IF((DATEVALUE(E87)-DATEVALUE(D87))&gt;365,"Long Term","Short Term"),"")</f>
        <v/>
      </c>
    </row>
    <row r="88" customFormat="false" ht="15" hidden="false" customHeight="false" outlineLevel="0" collapsed="false">
      <c r="I88" s="0" t="str">
        <f aca="false">IF(F88&lt;&gt;"",F88*G88,"")</f>
        <v/>
      </c>
      <c r="J88" s="0" t="str">
        <f aca="false">IF(F88&lt;&gt;"",F88*H88,"")</f>
        <v/>
      </c>
      <c r="K88" s="0" t="str">
        <f aca="false">IF(J88&lt;&gt;"",I88-J88,"")</f>
        <v/>
      </c>
      <c r="L88" s="0" t="str">
        <f aca="false">IF(AND(J88&lt;&gt;"",J88&lt;&gt;0),K88/J88,"")</f>
        <v/>
      </c>
      <c r="M88" s="0" t="str">
        <f aca="false">IF(E88&lt;&gt;"",IF((DATEVALUE(E88)-DATEVALUE(D88))&gt;365,"Long Term","Short Term"),"")</f>
        <v/>
      </c>
    </row>
    <row r="89" customFormat="false" ht="15" hidden="false" customHeight="false" outlineLevel="0" collapsed="false">
      <c r="I89" s="0" t="str">
        <f aca="false">IF(F89&lt;&gt;"",F89*G89,"")</f>
        <v/>
      </c>
      <c r="J89" s="0" t="str">
        <f aca="false">IF(F89&lt;&gt;"",F89*H89,"")</f>
        <v/>
      </c>
      <c r="K89" s="0" t="str">
        <f aca="false">IF(J89&lt;&gt;"",I89-J89,"")</f>
        <v/>
      </c>
      <c r="L89" s="0" t="str">
        <f aca="false">IF(AND(J89&lt;&gt;"",J89&lt;&gt;0),K89/J89,"")</f>
        <v/>
      </c>
      <c r="M89" s="0" t="str">
        <f aca="false">IF(E89&lt;&gt;"",IF((DATEVALUE(E89)-DATEVALUE(D89))&gt;365,"Long Term","Short Term"),"")</f>
        <v/>
      </c>
    </row>
    <row r="90" customFormat="false" ht="15" hidden="false" customHeight="false" outlineLevel="0" collapsed="false">
      <c r="I90" s="0" t="str">
        <f aca="false">IF(F90&lt;&gt;"",F90*G90,"")</f>
        <v/>
      </c>
      <c r="J90" s="0" t="str">
        <f aca="false">IF(F90&lt;&gt;"",F90*H90,"")</f>
        <v/>
      </c>
      <c r="K90" s="0" t="str">
        <f aca="false">IF(J90&lt;&gt;"",I90-J90,"")</f>
        <v/>
      </c>
      <c r="L90" s="0" t="str">
        <f aca="false">IF(AND(J90&lt;&gt;"",J90&lt;&gt;0),K90/J90,"")</f>
        <v/>
      </c>
      <c r="M90" s="0" t="str">
        <f aca="false">IF(E90&lt;&gt;"",IF((DATEVALUE(E90)-DATEVALUE(D90))&gt;365,"Long Term","Short Term"),"")</f>
        <v/>
      </c>
    </row>
    <row r="91" customFormat="false" ht="15" hidden="false" customHeight="false" outlineLevel="0" collapsed="false">
      <c r="I91" s="0" t="str">
        <f aca="false">IF(F91&lt;&gt;"",F91*G91,"")</f>
        <v/>
      </c>
      <c r="J91" s="0" t="str">
        <f aca="false">IF(F91&lt;&gt;"",F91*H91,"")</f>
        <v/>
      </c>
      <c r="K91" s="0" t="str">
        <f aca="false">IF(J91&lt;&gt;"",I91-J91,"")</f>
        <v/>
      </c>
      <c r="L91" s="0" t="str">
        <f aca="false">IF(AND(J91&lt;&gt;"",J91&lt;&gt;0),K91/J91,"")</f>
        <v/>
      </c>
      <c r="M91" s="0" t="str">
        <f aca="false">IF(E91&lt;&gt;"",IF((DATEVALUE(E91)-DATEVALUE(D91))&gt;365,"Long Term","Short Term"),"")</f>
        <v/>
      </c>
    </row>
    <row r="92" customFormat="false" ht="15" hidden="false" customHeight="false" outlineLevel="0" collapsed="false">
      <c r="I92" s="0" t="str">
        <f aca="false">IF(F92&lt;&gt;"",F92*G92,"")</f>
        <v/>
      </c>
      <c r="J92" s="0" t="str">
        <f aca="false">IF(F92&lt;&gt;"",F92*H92,"")</f>
        <v/>
      </c>
      <c r="K92" s="0" t="str">
        <f aca="false">IF(J92&lt;&gt;"",I92-J92,"")</f>
        <v/>
      </c>
      <c r="L92" s="0" t="str">
        <f aca="false">IF(AND(J92&lt;&gt;"",J92&lt;&gt;0),K92/J92,"")</f>
        <v/>
      </c>
      <c r="M92" s="0" t="str">
        <f aca="false">IF(E92&lt;&gt;"",IF((DATEVALUE(E92)-DATEVALUE(D92))&gt;365,"Long Term","Short Term"),"")</f>
        <v/>
      </c>
    </row>
    <row r="93" customFormat="false" ht="15" hidden="false" customHeight="false" outlineLevel="0" collapsed="false">
      <c r="I93" s="0" t="str">
        <f aca="false">IF(F93&lt;&gt;"",F93*G93,"")</f>
        <v/>
      </c>
      <c r="J93" s="0" t="str">
        <f aca="false">IF(F93&lt;&gt;"",F93*H93,"")</f>
        <v/>
      </c>
      <c r="K93" s="0" t="str">
        <f aca="false">IF(J93&lt;&gt;"",I93-J93,"")</f>
        <v/>
      </c>
      <c r="L93" s="0" t="str">
        <f aca="false">IF(AND(J93&lt;&gt;"",J93&lt;&gt;0),K93/J93,"")</f>
        <v/>
      </c>
      <c r="M93" s="0" t="str">
        <f aca="false">IF(E93&lt;&gt;"",IF((DATEVALUE(E93)-DATEVALUE(D93))&gt;365,"Long Term","Short Term"),"")</f>
        <v/>
      </c>
    </row>
    <row r="94" customFormat="false" ht="15" hidden="false" customHeight="false" outlineLevel="0" collapsed="false">
      <c r="I94" s="0" t="str">
        <f aca="false">IF(F94&lt;&gt;"",F94*G94,"")</f>
        <v/>
      </c>
      <c r="J94" s="0" t="str">
        <f aca="false">IF(F94&lt;&gt;"",F94*H94,"")</f>
        <v/>
      </c>
      <c r="K94" s="0" t="str">
        <f aca="false">IF(J94&lt;&gt;"",I94-J94,"")</f>
        <v/>
      </c>
      <c r="L94" s="0" t="str">
        <f aca="false">IF(AND(J94&lt;&gt;"",J94&lt;&gt;0),K94/J94,"")</f>
        <v/>
      </c>
      <c r="M94" s="0" t="str">
        <f aca="false">IF(E94&lt;&gt;"",IF((DATEVALUE(E94)-DATEVALUE(D94))&gt;365,"Long Term","Short Term"),"")</f>
        <v/>
      </c>
    </row>
    <row r="95" customFormat="false" ht="15" hidden="false" customHeight="false" outlineLevel="0" collapsed="false">
      <c r="I95" s="0" t="str">
        <f aca="false">IF(F95&lt;&gt;"",F95*G95,"")</f>
        <v/>
      </c>
      <c r="J95" s="0" t="str">
        <f aca="false">IF(F95&lt;&gt;"",F95*H95,"")</f>
        <v/>
      </c>
      <c r="K95" s="0" t="str">
        <f aca="false">IF(J95&lt;&gt;"",I95-J95,"")</f>
        <v/>
      </c>
      <c r="L95" s="0" t="str">
        <f aca="false">IF(AND(J95&lt;&gt;"",J95&lt;&gt;0),K95/J95,"")</f>
        <v/>
      </c>
      <c r="M95" s="0" t="str">
        <f aca="false">IF(E95&lt;&gt;"",IF((DATEVALUE(E95)-DATEVALUE(D95))&gt;365,"Long Term","Short Term"),"")</f>
        <v/>
      </c>
    </row>
    <row r="96" customFormat="false" ht="15" hidden="false" customHeight="false" outlineLevel="0" collapsed="false">
      <c r="I96" s="0" t="str">
        <f aca="false">IF(F96&lt;&gt;"",F96*G96,"")</f>
        <v/>
      </c>
      <c r="J96" s="0" t="str">
        <f aca="false">IF(F96&lt;&gt;"",F96*H96,"")</f>
        <v/>
      </c>
      <c r="K96" s="0" t="str">
        <f aca="false">IF(J96&lt;&gt;"",I96-J96,"")</f>
        <v/>
      </c>
      <c r="L96" s="0" t="str">
        <f aca="false">IF(AND(J96&lt;&gt;"",J96&lt;&gt;0),K96/J96,"")</f>
        <v/>
      </c>
      <c r="M96" s="0" t="str">
        <f aca="false">IF(E96&lt;&gt;"",IF((DATEVALUE(E96)-DATEVALUE(D96))&gt;365,"Long Term","Short Term"),"")</f>
        <v/>
      </c>
    </row>
    <row r="97" customFormat="false" ht="15" hidden="false" customHeight="false" outlineLevel="0" collapsed="false">
      <c r="I97" s="0" t="str">
        <f aca="false">IF(F97&lt;&gt;"",F97*G97,"")</f>
        <v/>
      </c>
      <c r="J97" s="0" t="str">
        <f aca="false">IF(F97&lt;&gt;"",F97*H97,"")</f>
        <v/>
      </c>
      <c r="K97" s="0" t="str">
        <f aca="false">IF(J97&lt;&gt;"",I97-J97,"")</f>
        <v/>
      </c>
      <c r="L97" s="0" t="str">
        <f aca="false">IF(AND(J97&lt;&gt;"",J97&lt;&gt;0),K97/J97,"")</f>
        <v/>
      </c>
      <c r="M97" s="0" t="str">
        <f aca="false">IF(E97&lt;&gt;"",IF((DATEVALUE(E97)-DATEVALUE(D97))&gt;365,"Long Term","Short Term"),"")</f>
        <v/>
      </c>
    </row>
    <row r="98" customFormat="false" ht="15" hidden="false" customHeight="false" outlineLevel="0" collapsed="false">
      <c r="I98" s="0" t="str">
        <f aca="false">IF(F98&lt;&gt;"",F98*G98,"")</f>
        <v/>
      </c>
      <c r="J98" s="0" t="str">
        <f aca="false">IF(F98&lt;&gt;"",F98*H98,"")</f>
        <v/>
      </c>
      <c r="K98" s="0" t="str">
        <f aca="false">IF(J98&lt;&gt;"",I98-J98,"")</f>
        <v/>
      </c>
      <c r="L98" s="0" t="str">
        <f aca="false">IF(AND(J98&lt;&gt;"",J98&lt;&gt;0),K98/J98,"")</f>
        <v/>
      </c>
      <c r="M98" s="0" t="str">
        <f aca="false">IF(E98&lt;&gt;"",IF((DATEVALUE(E98)-DATEVALUE(D98))&gt;365,"Long Term","Short Term"),"")</f>
        <v/>
      </c>
    </row>
    <row r="99" customFormat="false" ht="15" hidden="false" customHeight="false" outlineLevel="0" collapsed="false">
      <c r="I99" s="0" t="str">
        <f aca="false">IF(F99&lt;&gt;"",F99*G99,"")</f>
        <v/>
      </c>
      <c r="J99" s="0" t="str">
        <f aca="false">IF(F99&lt;&gt;"",F99*H99,"")</f>
        <v/>
      </c>
      <c r="K99" s="0" t="str">
        <f aca="false">IF(J99&lt;&gt;"",I99-J99,"")</f>
        <v/>
      </c>
      <c r="L99" s="0" t="str">
        <f aca="false">IF(AND(J99&lt;&gt;"",J99&lt;&gt;0),K99/J99,"")</f>
        <v/>
      </c>
      <c r="M99" s="0" t="str">
        <f aca="false">IF(E99&lt;&gt;"",IF((DATEVALUE(E99)-DATEVALUE(D99))&gt;365,"Long Term","Short Term"),"")</f>
        <v/>
      </c>
    </row>
    <row r="100" customFormat="false" ht="15" hidden="false" customHeight="false" outlineLevel="0" collapsed="false">
      <c r="I100" s="0" t="str">
        <f aca="false">IF(F100&lt;&gt;"",F100*G100,"")</f>
        <v/>
      </c>
      <c r="J100" s="0" t="str">
        <f aca="false">IF(F100&lt;&gt;"",F100*H100,"")</f>
        <v/>
      </c>
      <c r="K100" s="0" t="str">
        <f aca="false">IF(J100&lt;&gt;"",I100-J100,"")</f>
        <v/>
      </c>
      <c r="L100" s="0" t="str">
        <f aca="false">IF(AND(J100&lt;&gt;"",J100&lt;&gt;0),K100/J100,"")</f>
        <v/>
      </c>
      <c r="M100" s="0" t="str">
        <f aca="false">IF(E100&lt;&gt;"",IF((DATEVALUE(E100)-DATEVALUE(D100))&gt;365,"Long Term","Short Term"),"")</f>
        <v/>
      </c>
    </row>
  </sheetData>
  <mergeCells count="1">
    <mergeCell ref="A1:C1"/>
  </mergeCells>
  <conditionalFormatting sqref="K4:K100">
    <cfRule type="cellIs" priority="2" operator="greaterThan" aboveAverage="0" equalAverage="0" bottom="0" percent="0" rank="0" text="" dxfId="5">
      <formula>0</formula>
    </cfRule>
    <cfRule type="cellIs" priority="3" operator="lessThan" aboveAverage="0" equalAverage="0" bottom="0" percent="0" rank="0" text="" dxfId="6">
      <formula>0</formula>
    </cfRule>
  </conditionalFormatting>
  <dataValidations count="1">
    <dataValidation allowBlank="true" errorStyle="stop" operator="between" showDropDown="false" showErrorMessage="false" showInputMessage="false" sqref="C4:C100" type="list">
      <formula1>Config!$A$2:$A$5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35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4" t="s">
        <v>62</v>
      </c>
      <c r="B1" s="4" t="s">
        <v>63</v>
      </c>
      <c r="C1" s="4" t="s">
        <v>13</v>
      </c>
      <c r="D1" s="4" t="s">
        <v>67</v>
      </c>
      <c r="E1" s="4" t="s">
        <v>119</v>
      </c>
      <c r="F1" s="4" t="s">
        <v>120</v>
      </c>
      <c r="G1" s="4" t="s">
        <v>73</v>
      </c>
      <c r="H1" s="4" t="s">
        <v>121</v>
      </c>
      <c r="I1" s="4" t="s">
        <v>42</v>
      </c>
      <c r="J1" s="4" t="s">
        <v>122</v>
      </c>
    </row>
    <row r="2" customFormat="false" ht="15" hidden="false" customHeight="false" outlineLevel="0" collapsed="false">
      <c r="A2" s="18" t="s">
        <v>123</v>
      </c>
      <c r="B2" s="18" t="s">
        <v>124</v>
      </c>
      <c r="C2" s="18" t="s">
        <v>15</v>
      </c>
      <c r="D2" s="19" t="e">
        <f aca="false">googlefinance(A2,"price")</f>
        <v>#NAME?</v>
      </c>
      <c r="E2" s="19" t="n">
        <v>180</v>
      </c>
      <c r="F2" s="20" t="e">
        <f aca="false">IF(AND(D2&lt;&gt;"",E2&lt;&gt;""),(D2-E2)/D2,"")</f>
        <v>#NAME?</v>
      </c>
      <c r="G2" s="18" t="s">
        <v>125</v>
      </c>
      <c r="H2" s="18" t="s">
        <v>126</v>
      </c>
      <c r="I2" s="18" t="s">
        <v>46</v>
      </c>
      <c r="J2" s="18" t="s">
        <v>127</v>
      </c>
    </row>
    <row r="3" customFormat="false" ht="15" hidden="false" customHeight="false" outlineLevel="0" collapsed="false">
      <c r="A3" s="18" t="s">
        <v>128</v>
      </c>
      <c r="B3" s="18" t="s">
        <v>129</v>
      </c>
      <c r="C3" s="18" t="s">
        <v>16</v>
      </c>
      <c r="D3" s="19" t="e">
        <f aca="false">googlefinance(A3,"price")</f>
        <v>#NAME?</v>
      </c>
      <c r="E3" s="19" t="n">
        <v>320</v>
      </c>
      <c r="F3" s="20" t="e">
        <f aca="false">IF(AND(D3&lt;&gt;"",E3&lt;&gt;""),(D3-E3)/D3,"")</f>
        <v>#NAME?</v>
      </c>
      <c r="G3" s="18" t="s">
        <v>130</v>
      </c>
      <c r="H3" s="18" t="s">
        <v>131</v>
      </c>
      <c r="I3" s="18" t="s">
        <v>50</v>
      </c>
      <c r="J3" s="18" t="s">
        <v>132</v>
      </c>
    </row>
    <row r="4" customFormat="false" ht="15" hidden="false" customHeight="false" outlineLevel="0" collapsed="false">
      <c r="A4" s="18" t="s">
        <v>133</v>
      </c>
      <c r="B4" s="18" t="s">
        <v>134</v>
      </c>
      <c r="C4" s="18" t="s">
        <v>15</v>
      </c>
      <c r="D4" s="19" t="e">
        <f aca="false">googlefinance(A4,"price")</f>
        <v>#NAME?</v>
      </c>
      <c r="E4" s="19" t="n">
        <v>175</v>
      </c>
      <c r="F4" s="20" t="e">
        <f aca="false">IF(AND(D4&lt;&gt;"",E4&lt;&gt;""),(D4-E4)/D4,"")</f>
        <v>#NAME?</v>
      </c>
      <c r="G4" s="18" t="s">
        <v>135</v>
      </c>
      <c r="H4" s="18" t="s">
        <v>136</v>
      </c>
      <c r="I4" s="18" t="s">
        <v>50</v>
      </c>
      <c r="J4" s="18" t="s">
        <v>137</v>
      </c>
    </row>
    <row r="5" customFormat="false" ht="15" hidden="false" customHeight="false" outlineLevel="0" collapsed="false">
      <c r="A5" s="18" t="s">
        <v>138</v>
      </c>
      <c r="B5" s="18" t="s">
        <v>139</v>
      </c>
      <c r="C5" s="18" t="s">
        <v>16</v>
      </c>
      <c r="D5" s="19" t="e">
        <f aca="false">googlefinance(A5,"price")</f>
        <v>#NAME?</v>
      </c>
      <c r="E5" s="19" t="n">
        <v>65</v>
      </c>
      <c r="F5" s="20" t="e">
        <f aca="false">IF(AND(D5&lt;&gt;"",E5&lt;&gt;""),(D5-E5)/D5,"")</f>
        <v>#NAME?</v>
      </c>
      <c r="G5" s="18" t="s">
        <v>140</v>
      </c>
      <c r="H5" s="18" t="s">
        <v>141</v>
      </c>
      <c r="I5" s="18" t="s">
        <v>54</v>
      </c>
      <c r="J5" s="18" t="s">
        <v>142</v>
      </c>
    </row>
    <row r="6" customFormat="false" ht="15" hidden="false" customHeight="false" outlineLevel="0" collapsed="false">
      <c r="D6" s="0" t="str">
        <f aca="false">IF(A6&lt;&gt;"",googlefinance(A6,"price"),"")</f>
        <v/>
      </c>
      <c r="F6" s="0" t="str">
        <f aca="false">IF(AND(D6&lt;&gt;"",E6&lt;&gt;""),(D6-E6)/D6,"")</f>
        <v/>
      </c>
    </row>
    <row r="7" customFormat="false" ht="15" hidden="false" customHeight="false" outlineLevel="0" collapsed="false">
      <c r="D7" s="0" t="str">
        <f aca="false">IF(A7&lt;&gt;"",googlefinance(A7,"price"),"")</f>
        <v/>
      </c>
      <c r="F7" s="0" t="str">
        <f aca="false">IF(AND(D7&lt;&gt;"",E7&lt;&gt;""),(D7-E7)/D7,"")</f>
        <v/>
      </c>
    </row>
    <row r="8" customFormat="false" ht="15" hidden="false" customHeight="false" outlineLevel="0" collapsed="false">
      <c r="D8" s="0" t="str">
        <f aca="false">IF(A8&lt;&gt;"",googlefinance(A8,"price"),"")</f>
        <v/>
      </c>
      <c r="F8" s="0" t="str">
        <f aca="false">IF(AND(D8&lt;&gt;"",E8&lt;&gt;""),(D8-E8)/D8,"")</f>
        <v/>
      </c>
    </row>
    <row r="9" customFormat="false" ht="15" hidden="false" customHeight="false" outlineLevel="0" collapsed="false">
      <c r="D9" s="0" t="str">
        <f aca="false">IF(A9&lt;&gt;"",googlefinance(A9,"price"),"")</f>
        <v/>
      </c>
      <c r="F9" s="0" t="str">
        <f aca="false">IF(AND(D9&lt;&gt;"",E9&lt;&gt;""),(D9-E9)/D9,"")</f>
        <v/>
      </c>
    </row>
    <row r="10" customFormat="false" ht="15" hidden="false" customHeight="false" outlineLevel="0" collapsed="false">
      <c r="D10" s="0" t="str">
        <f aca="false">IF(A10&lt;&gt;"",googlefinance(A10,"price"),"")</f>
        <v/>
      </c>
      <c r="F10" s="0" t="str">
        <f aca="false">IF(AND(D10&lt;&gt;"",E10&lt;&gt;""),(D10-E10)/D10,"")</f>
        <v/>
      </c>
    </row>
    <row r="11" customFormat="false" ht="15" hidden="false" customHeight="false" outlineLevel="0" collapsed="false">
      <c r="D11" s="0" t="str">
        <f aca="false">IF(A11&lt;&gt;"",googlefinance(A11,"price"),"")</f>
        <v/>
      </c>
      <c r="F11" s="0" t="str">
        <f aca="false">IF(AND(D11&lt;&gt;"",E11&lt;&gt;""),(D11-E11)/D11,"")</f>
        <v/>
      </c>
    </row>
    <row r="12" customFormat="false" ht="15" hidden="false" customHeight="false" outlineLevel="0" collapsed="false">
      <c r="D12" s="0" t="str">
        <f aca="false">IF(A12&lt;&gt;"",googlefinance(A12,"price"),"")</f>
        <v/>
      </c>
      <c r="F12" s="0" t="str">
        <f aca="false">IF(AND(D12&lt;&gt;"",E12&lt;&gt;""),(D12-E12)/D12,"")</f>
        <v/>
      </c>
    </row>
    <row r="13" customFormat="false" ht="15" hidden="false" customHeight="false" outlineLevel="0" collapsed="false">
      <c r="D13" s="0" t="str">
        <f aca="false">IF(A13&lt;&gt;"",googlefinance(A13,"price"),"")</f>
        <v/>
      </c>
      <c r="F13" s="0" t="str">
        <f aca="false">IF(AND(D13&lt;&gt;"",E13&lt;&gt;""),(D13-E13)/D13,"")</f>
        <v/>
      </c>
    </row>
    <row r="14" customFormat="false" ht="15" hidden="false" customHeight="false" outlineLevel="0" collapsed="false">
      <c r="D14" s="0" t="str">
        <f aca="false">IF(A14&lt;&gt;"",googlefinance(A14,"price"),"")</f>
        <v/>
      </c>
      <c r="F14" s="0" t="str">
        <f aca="false">IF(AND(D14&lt;&gt;"",E14&lt;&gt;""),(D14-E14)/D14,"")</f>
        <v/>
      </c>
    </row>
    <row r="15" customFormat="false" ht="15" hidden="false" customHeight="false" outlineLevel="0" collapsed="false">
      <c r="D15" s="0" t="str">
        <f aca="false">IF(A15&lt;&gt;"",googlefinance(A15,"price"),"")</f>
        <v/>
      </c>
      <c r="F15" s="0" t="str">
        <f aca="false">IF(AND(D15&lt;&gt;"",E15&lt;&gt;""),(D15-E15)/D15,"")</f>
        <v/>
      </c>
    </row>
    <row r="16" customFormat="false" ht="15" hidden="false" customHeight="false" outlineLevel="0" collapsed="false">
      <c r="D16" s="0" t="str">
        <f aca="false">IF(A16&lt;&gt;"",googlefinance(A16,"price"),"")</f>
        <v/>
      </c>
      <c r="F16" s="0" t="str">
        <f aca="false">IF(AND(D16&lt;&gt;"",E16&lt;&gt;""),(D16-E16)/D16,"")</f>
        <v/>
      </c>
    </row>
    <row r="17" customFormat="false" ht="15" hidden="false" customHeight="false" outlineLevel="0" collapsed="false">
      <c r="D17" s="0" t="str">
        <f aca="false">IF(A17&lt;&gt;"",googlefinance(A17,"price"),"")</f>
        <v/>
      </c>
      <c r="F17" s="0" t="str">
        <f aca="false">IF(AND(D17&lt;&gt;"",E17&lt;&gt;""),(D17-E17)/D17,"")</f>
        <v/>
      </c>
    </row>
    <row r="18" customFormat="false" ht="15" hidden="false" customHeight="false" outlineLevel="0" collapsed="false">
      <c r="D18" s="0" t="str">
        <f aca="false">IF(A18&lt;&gt;"",googlefinance(A18,"price"),"")</f>
        <v/>
      </c>
      <c r="F18" s="0" t="str">
        <f aca="false">IF(AND(D18&lt;&gt;"",E18&lt;&gt;""),(D18-E18)/D18,"")</f>
        <v/>
      </c>
    </row>
    <row r="19" customFormat="false" ht="15" hidden="false" customHeight="false" outlineLevel="0" collapsed="false">
      <c r="D19" s="0" t="str">
        <f aca="false">IF(A19&lt;&gt;"",googlefinance(A19,"price"),"")</f>
        <v/>
      </c>
      <c r="F19" s="0" t="str">
        <f aca="false">IF(AND(D19&lt;&gt;"",E19&lt;&gt;""),(D19-E19)/D19,"")</f>
        <v/>
      </c>
    </row>
    <row r="20" customFormat="false" ht="15" hidden="false" customHeight="false" outlineLevel="0" collapsed="false">
      <c r="D20" s="0" t="str">
        <f aca="false">IF(A20&lt;&gt;"",googlefinance(A20,"price"),"")</f>
        <v/>
      </c>
      <c r="F20" s="0" t="str">
        <f aca="false">IF(AND(D20&lt;&gt;"",E20&lt;&gt;""),(D20-E20)/D20,"")</f>
        <v/>
      </c>
    </row>
    <row r="21" customFormat="false" ht="15" hidden="false" customHeight="false" outlineLevel="0" collapsed="false">
      <c r="D21" s="0" t="str">
        <f aca="false">IF(A21&lt;&gt;"",googlefinance(A21,"price"),"")</f>
        <v/>
      </c>
      <c r="F21" s="0" t="str">
        <f aca="false">IF(AND(D21&lt;&gt;"",E21&lt;&gt;""),(D21-E21)/D21,"")</f>
        <v/>
      </c>
    </row>
    <row r="22" customFormat="false" ht="15" hidden="false" customHeight="false" outlineLevel="0" collapsed="false">
      <c r="D22" s="0" t="str">
        <f aca="false">IF(A22&lt;&gt;"",googlefinance(A22,"price"),"")</f>
        <v/>
      </c>
      <c r="F22" s="0" t="str">
        <f aca="false">IF(AND(D22&lt;&gt;"",E22&lt;&gt;""),(D22-E22)/D22,"")</f>
        <v/>
      </c>
    </row>
    <row r="23" customFormat="false" ht="15" hidden="false" customHeight="false" outlineLevel="0" collapsed="false">
      <c r="D23" s="0" t="str">
        <f aca="false">IF(A23&lt;&gt;"",googlefinance(A23,"price"),"")</f>
        <v/>
      </c>
      <c r="F23" s="0" t="str">
        <f aca="false">IF(AND(D23&lt;&gt;"",E23&lt;&gt;""),(D23-E23)/D23,"")</f>
        <v/>
      </c>
    </row>
    <row r="24" customFormat="false" ht="15" hidden="false" customHeight="false" outlineLevel="0" collapsed="false">
      <c r="D24" s="0" t="str">
        <f aca="false">IF(A24&lt;&gt;"",googlefinance(A24,"price"),"")</f>
        <v/>
      </c>
      <c r="F24" s="0" t="str">
        <f aca="false">IF(AND(D24&lt;&gt;"",E24&lt;&gt;""),(D24-E24)/D24,"")</f>
        <v/>
      </c>
    </row>
    <row r="25" customFormat="false" ht="15" hidden="false" customHeight="false" outlineLevel="0" collapsed="false">
      <c r="D25" s="0" t="str">
        <f aca="false">IF(A25&lt;&gt;"",googlefinance(A25,"price"),"")</f>
        <v/>
      </c>
      <c r="F25" s="0" t="str">
        <f aca="false">IF(AND(D25&lt;&gt;"",E25&lt;&gt;""),(D25-E25)/D25,"")</f>
        <v/>
      </c>
    </row>
    <row r="26" customFormat="false" ht="15" hidden="false" customHeight="false" outlineLevel="0" collapsed="false">
      <c r="D26" s="0" t="str">
        <f aca="false">IF(A26&lt;&gt;"",googlefinance(A26,"price"),"")</f>
        <v/>
      </c>
      <c r="F26" s="0" t="str">
        <f aca="false">IF(AND(D26&lt;&gt;"",E26&lt;&gt;""),(D26-E26)/D26,"")</f>
        <v/>
      </c>
    </row>
    <row r="27" customFormat="false" ht="15" hidden="false" customHeight="false" outlineLevel="0" collapsed="false">
      <c r="D27" s="0" t="str">
        <f aca="false">IF(A27&lt;&gt;"",googlefinance(A27,"price"),"")</f>
        <v/>
      </c>
      <c r="F27" s="0" t="str">
        <f aca="false">IF(AND(D27&lt;&gt;"",E27&lt;&gt;""),(D27-E27)/D27,"")</f>
        <v/>
      </c>
    </row>
    <row r="28" customFormat="false" ht="15" hidden="false" customHeight="false" outlineLevel="0" collapsed="false">
      <c r="D28" s="0" t="str">
        <f aca="false">IF(A28&lt;&gt;"",googlefinance(A28,"price"),"")</f>
        <v/>
      </c>
      <c r="F28" s="0" t="str">
        <f aca="false">IF(AND(D28&lt;&gt;"",E28&lt;&gt;""),(D28-E28)/D28,"")</f>
        <v/>
      </c>
    </row>
    <row r="29" customFormat="false" ht="15" hidden="false" customHeight="false" outlineLevel="0" collapsed="false">
      <c r="D29" s="0" t="str">
        <f aca="false">IF(A29&lt;&gt;"",googlefinance(A29,"price"),"")</f>
        <v/>
      </c>
      <c r="F29" s="0" t="str">
        <f aca="false">IF(AND(D29&lt;&gt;"",E29&lt;&gt;""),(D29-E29)/D29,"")</f>
        <v/>
      </c>
    </row>
    <row r="30" customFormat="false" ht="15" hidden="false" customHeight="false" outlineLevel="0" collapsed="false">
      <c r="D30" s="0" t="str">
        <f aca="false">IF(A30&lt;&gt;"",googlefinance(A30,"price"),"")</f>
        <v/>
      </c>
      <c r="F30" s="0" t="str">
        <f aca="false">IF(AND(D30&lt;&gt;"",E30&lt;&gt;""),(D30-E30)/D30,"")</f>
        <v/>
      </c>
    </row>
    <row r="31" customFormat="false" ht="15" hidden="false" customHeight="false" outlineLevel="0" collapsed="false">
      <c r="D31" s="0" t="str">
        <f aca="false">IF(A31&lt;&gt;"",googlefinance(A31,"price"),"")</f>
        <v/>
      </c>
      <c r="F31" s="0" t="str">
        <f aca="false">IF(AND(D31&lt;&gt;"",E31&lt;&gt;""),(D31-E31)/D31,"")</f>
        <v/>
      </c>
    </row>
    <row r="32" customFormat="false" ht="15" hidden="false" customHeight="false" outlineLevel="0" collapsed="false">
      <c r="D32" s="0" t="str">
        <f aca="false">IF(A32&lt;&gt;"",googlefinance(A32,"price"),"")</f>
        <v/>
      </c>
      <c r="F32" s="0" t="str">
        <f aca="false">IF(AND(D32&lt;&gt;"",E32&lt;&gt;""),(D32-E32)/D32,"")</f>
        <v/>
      </c>
    </row>
    <row r="33" customFormat="false" ht="15" hidden="false" customHeight="false" outlineLevel="0" collapsed="false">
      <c r="D33" s="0" t="str">
        <f aca="false">IF(A33&lt;&gt;"",googlefinance(A33,"price"),"")</f>
        <v/>
      </c>
      <c r="F33" s="0" t="str">
        <f aca="false">IF(AND(D33&lt;&gt;"",E33&lt;&gt;""),(D33-E33)/D33,"")</f>
        <v/>
      </c>
    </row>
    <row r="34" customFormat="false" ht="15" hidden="false" customHeight="false" outlineLevel="0" collapsed="false">
      <c r="D34" s="0" t="str">
        <f aca="false">IF(A34&lt;&gt;"",googlefinance(A34,"price"),"")</f>
        <v/>
      </c>
      <c r="F34" s="0" t="str">
        <f aca="false">IF(AND(D34&lt;&gt;"",E34&lt;&gt;""),(D34-E34)/D34,"")</f>
        <v/>
      </c>
    </row>
    <row r="35" customFormat="false" ht="15" hidden="false" customHeight="false" outlineLevel="0" collapsed="false">
      <c r="D35" s="0" t="str">
        <f aca="false">IF(A35&lt;&gt;"",googlefinance(A35,"price"),"")</f>
        <v/>
      </c>
      <c r="F35" s="0" t="str">
        <f aca="false">IF(AND(D35&lt;&gt;"",E35&lt;&gt;""),(D35-E35)/D35,"")</f>
        <v/>
      </c>
    </row>
    <row r="36" customFormat="false" ht="15" hidden="false" customHeight="false" outlineLevel="0" collapsed="false">
      <c r="D36" s="0" t="str">
        <f aca="false">IF(A36&lt;&gt;"",googlefinance(A36,"price"),"")</f>
        <v/>
      </c>
      <c r="F36" s="0" t="str">
        <f aca="false">IF(AND(D36&lt;&gt;"",E36&lt;&gt;""),(D36-E36)/D36,"")</f>
        <v/>
      </c>
    </row>
    <row r="37" customFormat="false" ht="15" hidden="false" customHeight="false" outlineLevel="0" collapsed="false">
      <c r="D37" s="0" t="str">
        <f aca="false">IF(A37&lt;&gt;"",googlefinance(A37,"price"),"")</f>
        <v/>
      </c>
      <c r="F37" s="0" t="str">
        <f aca="false">IF(AND(D37&lt;&gt;"",E37&lt;&gt;""),(D37-E37)/D37,"")</f>
        <v/>
      </c>
    </row>
    <row r="38" customFormat="false" ht="15" hidden="false" customHeight="false" outlineLevel="0" collapsed="false">
      <c r="D38" s="0" t="str">
        <f aca="false">IF(A38&lt;&gt;"",googlefinance(A38,"price"),"")</f>
        <v/>
      </c>
      <c r="F38" s="0" t="str">
        <f aca="false">IF(AND(D38&lt;&gt;"",E38&lt;&gt;""),(D38-E38)/D38,"")</f>
        <v/>
      </c>
    </row>
    <row r="39" customFormat="false" ht="15" hidden="false" customHeight="false" outlineLevel="0" collapsed="false">
      <c r="D39" s="0" t="str">
        <f aca="false">IF(A39&lt;&gt;"",googlefinance(A39,"price"),"")</f>
        <v/>
      </c>
      <c r="F39" s="0" t="str">
        <f aca="false">IF(AND(D39&lt;&gt;"",E39&lt;&gt;""),(D39-E39)/D39,"")</f>
        <v/>
      </c>
    </row>
    <row r="40" customFormat="false" ht="15" hidden="false" customHeight="false" outlineLevel="0" collapsed="false">
      <c r="D40" s="0" t="str">
        <f aca="false">IF(A40&lt;&gt;"",googlefinance(A40,"price"),"")</f>
        <v/>
      </c>
      <c r="F40" s="0" t="str">
        <f aca="false">IF(AND(D40&lt;&gt;"",E40&lt;&gt;""),(D40-E40)/D40,"")</f>
        <v/>
      </c>
    </row>
    <row r="41" customFormat="false" ht="15" hidden="false" customHeight="false" outlineLevel="0" collapsed="false">
      <c r="D41" s="0" t="str">
        <f aca="false">IF(A41&lt;&gt;"",googlefinance(A41,"price"),"")</f>
        <v/>
      </c>
      <c r="F41" s="0" t="str">
        <f aca="false">IF(AND(D41&lt;&gt;"",E41&lt;&gt;""),(D41-E41)/D41,"")</f>
        <v/>
      </c>
    </row>
    <row r="42" customFormat="false" ht="15" hidden="false" customHeight="false" outlineLevel="0" collapsed="false">
      <c r="D42" s="0" t="str">
        <f aca="false">IF(A42&lt;&gt;"",googlefinance(A42,"price"),"")</f>
        <v/>
      </c>
      <c r="F42" s="0" t="str">
        <f aca="false">IF(AND(D42&lt;&gt;"",E42&lt;&gt;""),(D42-E42)/D42,"")</f>
        <v/>
      </c>
    </row>
    <row r="43" customFormat="false" ht="15" hidden="false" customHeight="false" outlineLevel="0" collapsed="false">
      <c r="D43" s="0" t="str">
        <f aca="false">IF(A43&lt;&gt;"",googlefinance(A43,"price"),"")</f>
        <v/>
      </c>
      <c r="F43" s="0" t="str">
        <f aca="false">IF(AND(D43&lt;&gt;"",E43&lt;&gt;""),(D43-E43)/D43,"")</f>
        <v/>
      </c>
    </row>
    <row r="44" customFormat="false" ht="15" hidden="false" customHeight="false" outlineLevel="0" collapsed="false">
      <c r="D44" s="0" t="str">
        <f aca="false">IF(A44&lt;&gt;"",googlefinance(A44,"price"),"")</f>
        <v/>
      </c>
      <c r="F44" s="0" t="str">
        <f aca="false">IF(AND(D44&lt;&gt;"",E44&lt;&gt;""),(D44-E44)/D44,"")</f>
        <v/>
      </c>
    </row>
    <row r="45" customFormat="false" ht="15" hidden="false" customHeight="false" outlineLevel="0" collapsed="false">
      <c r="D45" s="0" t="str">
        <f aca="false">IF(A45&lt;&gt;"",googlefinance(A45,"price"),"")</f>
        <v/>
      </c>
      <c r="F45" s="0" t="str">
        <f aca="false">IF(AND(D45&lt;&gt;"",E45&lt;&gt;""),(D45-E45)/D45,"")</f>
        <v/>
      </c>
    </row>
    <row r="46" customFormat="false" ht="15" hidden="false" customHeight="false" outlineLevel="0" collapsed="false">
      <c r="D46" s="0" t="str">
        <f aca="false">IF(A46&lt;&gt;"",googlefinance(A46,"price"),"")</f>
        <v/>
      </c>
      <c r="F46" s="0" t="str">
        <f aca="false">IF(AND(D46&lt;&gt;"",E46&lt;&gt;""),(D46-E46)/D46,"")</f>
        <v/>
      </c>
    </row>
    <row r="47" customFormat="false" ht="15" hidden="false" customHeight="false" outlineLevel="0" collapsed="false">
      <c r="D47" s="0" t="str">
        <f aca="false">IF(A47&lt;&gt;"",googlefinance(A47,"price"),"")</f>
        <v/>
      </c>
      <c r="F47" s="0" t="str">
        <f aca="false">IF(AND(D47&lt;&gt;"",E47&lt;&gt;""),(D47-E47)/D47,"")</f>
        <v/>
      </c>
    </row>
    <row r="48" customFormat="false" ht="15" hidden="false" customHeight="false" outlineLevel="0" collapsed="false">
      <c r="D48" s="0" t="str">
        <f aca="false">IF(A48&lt;&gt;"",googlefinance(A48,"price"),"")</f>
        <v/>
      </c>
      <c r="F48" s="0" t="str">
        <f aca="false">IF(AND(D48&lt;&gt;"",E48&lt;&gt;""),(D48-E48)/D48,"")</f>
        <v/>
      </c>
    </row>
    <row r="49" customFormat="false" ht="15" hidden="false" customHeight="false" outlineLevel="0" collapsed="false">
      <c r="D49" s="0" t="str">
        <f aca="false">IF(A49&lt;&gt;"",googlefinance(A49,"price"),"")</f>
        <v/>
      </c>
      <c r="F49" s="0" t="str">
        <f aca="false">IF(AND(D49&lt;&gt;"",E49&lt;&gt;""),(D49-E49)/D49,"")</f>
        <v/>
      </c>
    </row>
    <row r="50" customFormat="false" ht="15" hidden="false" customHeight="false" outlineLevel="0" collapsed="false">
      <c r="D50" s="0" t="str">
        <f aca="false">IF(A50&lt;&gt;"",googlefinance(A50,"price"),"")</f>
        <v/>
      </c>
      <c r="F50" s="0" t="str">
        <f aca="false">IF(AND(D50&lt;&gt;"",E50&lt;&gt;""),(D50-E50)/D50,"")</f>
        <v/>
      </c>
    </row>
    <row r="51" customFormat="false" ht="15" hidden="false" customHeight="false" outlineLevel="0" collapsed="false">
      <c r="D51" s="0" t="str">
        <f aca="false">IF(A51&lt;&gt;"",googlefinance(A51,"price"),"")</f>
        <v/>
      </c>
      <c r="F51" s="0" t="str">
        <f aca="false">IF(AND(D51&lt;&gt;"",E51&lt;&gt;""),(D51-E51)/D51,"")</f>
        <v/>
      </c>
    </row>
    <row r="52" customFormat="false" ht="15" hidden="false" customHeight="false" outlineLevel="0" collapsed="false">
      <c r="D52" s="0" t="str">
        <f aca="false">IF(A52&lt;&gt;"",googlefinance(A52,"price"),"")</f>
        <v/>
      </c>
      <c r="F52" s="0" t="str">
        <f aca="false">IF(AND(D52&lt;&gt;"",E52&lt;&gt;""),(D52-E52)/D52,"")</f>
        <v/>
      </c>
    </row>
    <row r="53" customFormat="false" ht="15" hidden="false" customHeight="false" outlineLevel="0" collapsed="false">
      <c r="D53" s="0" t="str">
        <f aca="false">IF(A53&lt;&gt;"",googlefinance(A53,"price"),"")</f>
        <v/>
      </c>
      <c r="F53" s="0" t="str">
        <f aca="false">IF(AND(D53&lt;&gt;"",E53&lt;&gt;""),(D53-E53)/D53,"")</f>
        <v/>
      </c>
    </row>
    <row r="54" customFormat="false" ht="15" hidden="false" customHeight="false" outlineLevel="0" collapsed="false">
      <c r="D54" s="0" t="str">
        <f aca="false">IF(A54&lt;&gt;"",googlefinance(A54,"price"),"")</f>
        <v/>
      </c>
      <c r="F54" s="0" t="str">
        <f aca="false">IF(AND(D54&lt;&gt;"",E54&lt;&gt;""),(D54-E54)/D54,"")</f>
        <v/>
      </c>
    </row>
    <row r="55" customFormat="false" ht="15" hidden="false" customHeight="false" outlineLevel="0" collapsed="false">
      <c r="D55" s="0" t="str">
        <f aca="false">IF(A55&lt;&gt;"",googlefinance(A55,"price"),"")</f>
        <v/>
      </c>
      <c r="F55" s="0" t="str">
        <f aca="false">IF(AND(D55&lt;&gt;"",E55&lt;&gt;""),(D55-E55)/D55,"")</f>
        <v/>
      </c>
    </row>
    <row r="56" customFormat="false" ht="15" hidden="false" customHeight="false" outlineLevel="0" collapsed="false">
      <c r="D56" s="0" t="str">
        <f aca="false">IF(A56&lt;&gt;"",googlefinance(A56,"price"),"")</f>
        <v/>
      </c>
      <c r="F56" s="0" t="str">
        <f aca="false">IF(AND(D56&lt;&gt;"",E56&lt;&gt;""),(D56-E56)/D56,"")</f>
        <v/>
      </c>
    </row>
    <row r="57" customFormat="false" ht="15" hidden="false" customHeight="false" outlineLevel="0" collapsed="false">
      <c r="D57" s="0" t="str">
        <f aca="false">IF(A57&lt;&gt;"",googlefinance(A57,"price"),"")</f>
        <v/>
      </c>
      <c r="F57" s="0" t="str">
        <f aca="false">IF(AND(D57&lt;&gt;"",E57&lt;&gt;""),(D57-E57)/D57,"")</f>
        <v/>
      </c>
    </row>
    <row r="58" customFormat="false" ht="15" hidden="false" customHeight="false" outlineLevel="0" collapsed="false">
      <c r="D58" s="0" t="str">
        <f aca="false">IF(A58&lt;&gt;"",googlefinance(A58,"price"),"")</f>
        <v/>
      </c>
      <c r="F58" s="0" t="str">
        <f aca="false">IF(AND(D58&lt;&gt;"",E58&lt;&gt;""),(D58-E58)/D58,"")</f>
        <v/>
      </c>
    </row>
    <row r="59" customFormat="false" ht="15" hidden="false" customHeight="false" outlineLevel="0" collapsed="false">
      <c r="D59" s="0" t="str">
        <f aca="false">IF(A59&lt;&gt;"",googlefinance(A59,"price"),"")</f>
        <v/>
      </c>
      <c r="F59" s="0" t="str">
        <f aca="false">IF(AND(D59&lt;&gt;"",E59&lt;&gt;""),(D59-E59)/D59,"")</f>
        <v/>
      </c>
    </row>
    <row r="60" customFormat="false" ht="15" hidden="false" customHeight="false" outlineLevel="0" collapsed="false">
      <c r="D60" s="0" t="str">
        <f aca="false">IF(A60&lt;&gt;"",googlefinance(A60,"price"),"")</f>
        <v/>
      </c>
      <c r="F60" s="0" t="str">
        <f aca="false">IF(AND(D60&lt;&gt;"",E60&lt;&gt;""),(D60-E60)/D60,"")</f>
        <v/>
      </c>
    </row>
    <row r="61" customFormat="false" ht="15" hidden="false" customHeight="false" outlineLevel="0" collapsed="false">
      <c r="D61" s="0" t="str">
        <f aca="false">IF(A61&lt;&gt;"",googlefinance(A61,"price"),"")</f>
        <v/>
      </c>
      <c r="F61" s="0" t="str">
        <f aca="false">IF(AND(D61&lt;&gt;"",E61&lt;&gt;""),(D61-E61)/D61,"")</f>
        <v/>
      </c>
    </row>
    <row r="62" customFormat="false" ht="15" hidden="false" customHeight="false" outlineLevel="0" collapsed="false">
      <c r="D62" s="0" t="str">
        <f aca="false">IF(A62&lt;&gt;"",googlefinance(A62,"price"),"")</f>
        <v/>
      </c>
      <c r="F62" s="0" t="str">
        <f aca="false">IF(AND(D62&lt;&gt;"",E62&lt;&gt;""),(D62-E62)/D62,"")</f>
        <v/>
      </c>
    </row>
    <row r="63" customFormat="false" ht="15" hidden="false" customHeight="false" outlineLevel="0" collapsed="false">
      <c r="D63" s="0" t="str">
        <f aca="false">IF(A63&lt;&gt;"",googlefinance(A63,"price"),"")</f>
        <v/>
      </c>
      <c r="F63" s="0" t="str">
        <f aca="false">IF(AND(D63&lt;&gt;"",E63&lt;&gt;""),(D63-E63)/D63,"")</f>
        <v/>
      </c>
    </row>
    <row r="64" customFormat="false" ht="15" hidden="false" customHeight="false" outlineLevel="0" collapsed="false">
      <c r="D64" s="0" t="str">
        <f aca="false">IF(A64&lt;&gt;"",googlefinance(A64,"price"),"")</f>
        <v/>
      </c>
      <c r="F64" s="0" t="str">
        <f aca="false">IF(AND(D64&lt;&gt;"",E64&lt;&gt;""),(D64-E64)/D64,"")</f>
        <v/>
      </c>
    </row>
    <row r="65" customFormat="false" ht="15" hidden="false" customHeight="false" outlineLevel="0" collapsed="false">
      <c r="D65" s="0" t="str">
        <f aca="false">IF(A65&lt;&gt;"",googlefinance(A65,"price"),"")</f>
        <v/>
      </c>
      <c r="F65" s="0" t="str">
        <f aca="false">IF(AND(D65&lt;&gt;"",E65&lt;&gt;""),(D65-E65)/D65,"")</f>
        <v/>
      </c>
    </row>
    <row r="66" customFormat="false" ht="15" hidden="false" customHeight="false" outlineLevel="0" collapsed="false">
      <c r="D66" s="0" t="str">
        <f aca="false">IF(A66&lt;&gt;"",googlefinance(A66,"price"),"")</f>
        <v/>
      </c>
      <c r="F66" s="0" t="str">
        <f aca="false">IF(AND(D66&lt;&gt;"",E66&lt;&gt;""),(D66-E66)/D66,"")</f>
        <v/>
      </c>
    </row>
    <row r="67" customFormat="false" ht="15" hidden="false" customHeight="false" outlineLevel="0" collapsed="false">
      <c r="D67" s="0" t="str">
        <f aca="false">IF(A67&lt;&gt;"",googlefinance(A67,"price"),"")</f>
        <v/>
      </c>
      <c r="F67" s="0" t="str">
        <f aca="false">IF(AND(D67&lt;&gt;"",E67&lt;&gt;""),(D67-E67)/D67,"")</f>
        <v/>
      </c>
    </row>
    <row r="68" customFormat="false" ht="15" hidden="false" customHeight="false" outlineLevel="0" collapsed="false">
      <c r="D68" s="0" t="str">
        <f aca="false">IF(A68&lt;&gt;"",googlefinance(A68,"price"),"")</f>
        <v/>
      </c>
      <c r="F68" s="0" t="str">
        <f aca="false">IF(AND(D68&lt;&gt;"",E68&lt;&gt;""),(D68-E68)/D68,"")</f>
        <v/>
      </c>
    </row>
    <row r="69" customFormat="false" ht="15" hidden="false" customHeight="false" outlineLevel="0" collapsed="false">
      <c r="D69" s="0" t="str">
        <f aca="false">IF(A69&lt;&gt;"",googlefinance(A69,"price"),"")</f>
        <v/>
      </c>
      <c r="F69" s="0" t="str">
        <f aca="false">IF(AND(D69&lt;&gt;"",E69&lt;&gt;""),(D69-E69)/D69,"")</f>
        <v/>
      </c>
    </row>
    <row r="70" customFormat="false" ht="15" hidden="false" customHeight="false" outlineLevel="0" collapsed="false">
      <c r="D70" s="0" t="str">
        <f aca="false">IF(A70&lt;&gt;"",googlefinance(A70,"price"),"")</f>
        <v/>
      </c>
      <c r="F70" s="0" t="str">
        <f aca="false">IF(AND(D70&lt;&gt;"",E70&lt;&gt;""),(D70-E70)/D70,"")</f>
        <v/>
      </c>
    </row>
    <row r="71" customFormat="false" ht="15" hidden="false" customHeight="false" outlineLevel="0" collapsed="false">
      <c r="D71" s="0" t="str">
        <f aca="false">IF(A71&lt;&gt;"",googlefinance(A71,"price"),"")</f>
        <v/>
      </c>
      <c r="F71" s="0" t="str">
        <f aca="false">IF(AND(D71&lt;&gt;"",E71&lt;&gt;""),(D71-E71)/D71,"")</f>
        <v/>
      </c>
    </row>
    <row r="72" customFormat="false" ht="15" hidden="false" customHeight="false" outlineLevel="0" collapsed="false">
      <c r="D72" s="0" t="str">
        <f aca="false">IF(A72&lt;&gt;"",googlefinance(A72,"price"),"")</f>
        <v/>
      </c>
      <c r="F72" s="0" t="str">
        <f aca="false">IF(AND(D72&lt;&gt;"",E72&lt;&gt;""),(D72-E72)/D72,"")</f>
        <v/>
      </c>
    </row>
    <row r="73" customFormat="false" ht="15" hidden="false" customHeight="false" outlineLevel="0" collapsed="false">
      <c r="D73" s="0" t="str">
        <f aca="false">IF(A73&lt;&gt;"",googlefinance(A73,"price"),"")</f>
        <v/>
      </c>
      <c r="F73" s="0" t="str">
        <f aca="false">IF(AND(D73&lt;&gt;"",E73&lt;&gt;""),(D73-E73)/D73,"")</f>
        <v/>
      </c>
    </row>
    <row r="74" customFormat="false" ht="15" hidden="false" customHeight="false" outlineLevel="0" collapsed="false">
      <c r="D74" s="0" t="str">
        <f aca="false">IF(A74&lt;&gt;"",googlefinance(A74,"price"),"")</f>
        <v/>
      </c>
      <c r="F74" s="0" t="str">
        <f aca="false">IF(AND(D74&lt;&gt;"",E74&lt;&gt;""),(D74-E74)/D74,"")</f>
        <v/>
      </c>
    </row>
    <row r="75" customFormat="false" ht="15" hidden="false" customHeight="false" outlineLevel="0" collapsed="false">
      <c r="D75" s="0" t="str">
        <f aca="false">IF(A75&lt;&gt;"",googlefinance(A75,"price"),"")</f>
        <v/>
      </c>
      <c r="F75" s="0" t="str">
        <f aca="false">IF(AND(D75&lt;&gt;"",E75&lt;&gt;""),(D75-E75)/D75,"")</f>
        <v/>
      </c>
    </row>
    <row r="76" customFormat="false" ht="15" hidden="false" customHeight="false" outlineLevel="0" collapsed="false">
      <c r="D76" s="0" t="str">
        <f aca="false">IF(A76&lt;&gt;"",googlefinance(A76,"price"),"")</f>
        <v/>
      </c>
      <c r="F76" s="0" t="str">
        <f aca="false">IF(AND(D76&lt;&gt;"",E76&lt;&gt;""),(D76-E76)/D76,"")</f>
        <v/>
      </c>
    </row>
    <row r="77" customFormat="false" ht="15" hidden="false" customHeight="false" outlineLevel="0" collapsed="false">
      <c r="D77" s="0" t="str">
        <f aca="false">IF(A77&lt;&gt;"",googlefinance(A77,"price"),"")</f>
        <v/>
      </c>
      <c r="F77" s="0" t="str">
        <f aca="false">IF(AND(D77&lt;&gt;"",E77&lt;&gt;""),(D77-E77)/D77,"")</f>
        <v/>
      </c>
    </row>
    <row r="78" customFormat="false" ht="15" hidden="false" customHeight="false" outlineLevel="0" collapsed="false">
      <c r="D78" s="0" t="str">
        <f aca="false">IF(A78&lt;&gt;"",googlefinance(A78,"price"),"")</f>
        <v/>
      </c>
      <c r="F78" s="0" t="str">
        <f aca="false">IF(AND(D78&lt;&gt;"",E78&lt;&gt;""),(D78-E78)/D78,"")</f>
        <v/>
      </c>
    </row>
    <row r="79" customFormat="false" ht="15" hidden="false" customHeight="false" outlineLevel="0" collapsed="false">
      <c r="D79" s="0" t="str">
        <f aca="false">IF(A79&lt;&gt;"",googlefinance(A79,"price"),"")</f>
        <v/>
      </c>
      <c r="F79" s="0" t="str">
        <f aca="false">IF(AND(D79&lt;&gt;"",E79&lt;&gt;""),(D79-E79)/D79,"")</f>
        <v/>
      </c>
    </row>
    <row r="80" customFormat="false" ht="15" hidden="false" customHeight="false" outlineLevel="0" collapsed="false">
      <c r="D80" s="0" t="str">
        <f aca="false">IF(A80&lt;&gt;"",googlefinance(A80,"price"),"")</f>
        <v/>
      </c>
      <c r="F80" s="0" t="str">
        <f aca="false">IF(AND(D80&lt;&gt;"",E80&lt;&gt;""),(D80-E80)/D80,"")</f>
        <v/>
      </c>
    </row>
    <row r="81" customFormat="false" ht="15" hidden="false" customHeight="false" outlineLevel="0" collapsed="false">
      <c r="D81" s="0" t="str">
        <f aca="false">IF(A81&lt;&gt;"",googlefinance(A81,"price"),"")</f>
        <v/>
      </c>
      <c r="F81" s="0" t="str">
        <f aca="false">IF(AND(D81&lt;&gt;"",E81&lt;&gt;""),(D81-E81)/D81,"")</f>
        <v/>
      </c>
    </row>
    <row r="82" customFormat="false" ht="15" hidden="false" customHeight="false" outlineLevel="0" collapsed="false">
      <c r="D82" s="0" t="str">
        <f aca="false">IF(A82&lt;&gt;"",googlefinance(A82,"price"),"")</f>
        <v/>
      </c>
      <c r="F82" s="0" t="str">
        <f aca="false">IF(AND(D82&lt;&gt;"",E82&lt;&gt;""),(D82-E82)/D82,"")</f>
        <v/>
      </c>
    </row>
    <row r="83" customFormat="false" ht="15" hidden="false" customHeight="false" outlineLevel="0" collapsed="false">
      <c r="D83" s="0" t="str">
        <f aca="false">IF(A83&lt;&gt;"",googlefinance(A83,"price"),"")</f>
        <v/>
      </c>
      <c r="F83" s="0" t="str">
        <f aca="false">IF(AND(D83&lt;&gt;"",E83&lt;&gt;""),(D83-E83)/D83,"")</f>
        <v/>
      </c>
    </row>
    <row r="84" customFormat="false" ht="15" hidden="false" customHeight="false" outlineLevel="0" collapsed="false">
      <c r="D84" s="0" t="str">
        <f aca="false">IF(A84&lt;&gt;"",googlefinance(A84,"price"),"")</f>
        <v/>
      </c>
      <c r="F84" s="0" t="str">
        <f aca="false">IF(AND(D84&lt;&gt;"",E84&lt;&gt;""),(D84-E84)/D84,"")</f>
        <v/>
      </c>
    </row>
    <row r="85" customFormat="false" ht="15" hidden="false" customHeight="false" outlineLevel="0" collapsed="false">
      <c r="D85" s="0" t="str">
        <f aca="false">IF(A85&lt;&gt;"",googlefinance(A85,"price"),"")</f>
        <v/>
      </c>
      <c r="F85" s="0" t="str">
        <f aca="false">IF(AND(D85&lt;&gt;"",E85&lt;&gt;""),(D85-E85)/D85,"")</f>
        <v/>
      </c>
    </row>
    <row r="86" customFormat="false" ht="15" hidden="false" customHeight="false" outlineLevel="0" collapsed="false">
      <c r="D86" s="0" t="str">
        <f aca="false">IF(A86&lt;&gt;"",googlefinance(A86,"price"),"")</f>
        <v/>
      </c>
      <c r="F86" s="0" t="str">
        <f aca="false">IF(AND(D86&lt;&gt;"",E86&lt;&gt;""),(D86-E86)/D86,"")</f>
        <v/>
      </c>
    </row>
    <row r="87" customFormat="false" ht="15" hidden="false" customHeight="false" outlineLevel="0" collapsed="false">
      <c r="D87" s="0" t="str">
        <f aca="false">IF(A87&lt;&gt;"",googlefinance(A87,"price"),"")</f>
        <v/>
      </c>
      <c r="F87" s="0" t="str">
        <f aca="false">IF(AND(D87&lt;&gt;"",E87&lt;&gt;""),(D87-E87)/D87,"")</f>
        <v/>
      </c>
    </row>
    <row r="88" customFormat="false" ht="15" hidden="false" customHeight="false" outlineLevel="0" collapsed="false">
      <c r="D88" s="0" t="str">
        <f aca="false">IF(A88&lt;&gt;"",googlefinance(A88,"price"),"")</f>
        <v/>
      </c>
      <c r="F88" s="0" t="str">
        <f aca="false">IF(AND(D88&lt;&gt;"",E88&lt;&gt;""),(D88-E88)/D88,"")</f>
        <v/>
      </c>
    </row>
    <row r="89" customFormat="false" ht="15" hidden="false" customHeight="false" outlineLevel="0" collapsed="false">
      <c r="D89" s="0" t="str">
        <f aca="false">IF(A89&lt;&gt;"",googlefinance(A89,"price"),"")</f>
        <v/>
      </c>
      <c r="F89" s="0" t="str">
        <f aca="false">IF(AND(D89&lt;&gt;"",E89&lt;&gt;""),(D89-E89)/D89,"")</f>
        <v/>
      </c>
    </row>
    <row r="90" customFormat="false" ht="15" hidden="false" customHeight="false" outlineLevel="0" collapsed="false">
      <c r="D90" s="0" t="str">
        <f aca="false">IF(A90&lt;&gt;"",googlefinance(A90,"price"),"")</f>
        <v/>
      </c>
      <c r="F90" s="0" t="str">
        <f aca="false">IF(AND(D90&lt;&gt;"",E90&lt;&gt;""),(D90-E90)/D90,"")</f>
        <v/>
      </c>
    </row>
    <row r="91" customFormat="false" ht="15" hidden="false" customHeight="false" outlineLevel="0" collapsed="false">
      <c r="D91" s="0" t="str">
        <f aca="false">IF(A91&lt;&gt;"",googlefinance(A91,"price"),"")</f>
        <v/>
      </c>
      <c r="F91" s="0" t="str">
        <f aca="false">IF(AND(D91&lt;&gt;"",E91&lt;&gt;""),(D91-E91)/D91,"")</f>
        <v/>
      </c>
    </row>
    <row r="92" customFormat="false" ht="15" hidden="false" customHeight="false" outlineLevel="0" collapsed="false">
      <c r="D92" s="0" t="str">
        <f aca="false">IF(A92&lt;&gt;"",googlefinance(A92,"price"),"")</f>
        <v/>
      </c>
      <c r="F92" s="0" t="str">
        <f aca="false">IF(AND(D92&lt;&gt;"",E92&lt;&gt;""),(D92-E92)/D92,"")</f>
        <v/>
      </c>
    </row>
    <row r="93" customFormat="false" ht="15" hidden="false" customHeight="false" outlineLevel="0" collapsed="false">
      <c r="D93" s="0" t="str">
        <f aca="false">IF(A93&lt;&gt;"",googlefinance(A93,"price"),"")</f>
        <v/>
      </c>
      <c r="F93" s="0" t="str">
        <f aca="false">IF(AND(D93&lt;&gt;"",E93&lt;&gt;""),(D93-E93)/D93,"")</f>
        <v/>
      </c>
    </row>
    <row r="94" customFormat="false" ht="15" hidden="false" customHeight="false" outlineLevel="0" collapsed="false">
      <c r="D94" s="0" t="str">
        <f aca="false">IF(A94&lt;&gt;"",googlefinance(A94,"price"),"")</f>
        <v/>
      </c>
      <c r="F94" s="0" t="str">
        <f aca="false">IF(AND(D94&lt;&gt;"",E94&lt;&gt;""),(D94-E94)/D94,"")</f>
        <v/>
      </c>
    </row>
    <row r="95" customFormat="false" ht="15" hidden="false" customHeight="false" outlineLevel="0" collapsed="false">
      <c r="D95" s="0" t="str">
        <f aca="false">IF(A95&lt;&gt;"",googlefinance(A95,"price"),"")</f>
        <v/>
      </c>
      <c r="F95" s="0" t="str">
        <f aca="false">IF(AND(D95&lt;&gt;"",E95&lt;&gt;""),(D95-E95)/D95,"")</f>
        <v/>
      </c>
    </row>
    <row r="96" customFormat="false" ht="15" hidden="false" customHeight="false" outlineLevel="0" collapsed="false">
      <c r="D96" s="0" t="str">
        <f aca="false">IF(A96&lt;&gt;"",googlefinance(A96,"price"),"")</f>
        <v/>
      </c>
      <c r="F96" s="0" t="str">
        <f aca="false">IF(AND(D96&lt;&gt;"",E96&lt;&gt;""),(D96-E96)/D96,"")</f>
        <v/>
      </c>
    </row>
    <row r="97" customFormat="false" ht="15" hidden="false" customHeight="false" outlineLevel="0" collapsed="false">
      <c r="D97" s="0" t="str">
        <f aca="false">IF(A97&lt;&gt;"",googlefinance(A97,"price"),"")</f>
        <v/>
      </c>
      <c r="F97" s="0" t="str">
        <f aca="false">IF(AND(D97&lt;&gt;"",E97&lt;&gt;""),(D97-E97)/D97,"")</f>
        <v/>
      </c>
    </row>
    <row r="98" customFormat="false" ht="15" hidden="false" customHeight="false" outlineLevel="0" collapsed="false">
      <c r="D98" s="0" t="str">
        <f aca="false">IF(A98&lt;&gt;"",googlefinance(A98,"price"),"")</f>
        <v/>
      </c>
      <c r="F98" s="0" t="str">
        <f aca="false">IF(AND(D98&lt;&gt;"",E98&lt;&gt;""),(D98-E98)/D98,"")</f>
        <v/>
      </c>
    </row>
    <row r="99" customFormat="false" ht="15" hidden="false" customHeight="false" outlineLevel="0" collapsed="false">
      <c r="D99" s="0" t="str">
        <f aca="false">IF(A99&lt;&gt;"",googlefinance(A99,"price"),"")</f>
        <v/>
      </c>
      <c r="F99" s="0" t="str">
        <f aca="false">IF(AND(D99&lt;&gt;"",E99&lt;&gt;""),(D99-E99)/D99,"")</f>
        <v/>
      </c>
    </row>
    <row r="100" customFormat="false" ht="15" hidden="false" customHeight="false" outlineLevel="0" collapsed="false">
      <c r="D100" s="0" t="str">
        <f aca="false">IF(A100&lt;&gt;"",googlefinance(A100,"price"),"")</f>
        <v/>
      </c>
      <c r="F100" s="0" t="str">
        <f aca="false">IF(AND(D100&lt;&gt;"",E100&lt;&gt;""),(D100-E100)/D100,"")</f>
        <v/>
      </c>
    </row>
  </sheetData>
  <conditionalFormatting sqref="F2:F100">
    <cfRule type="cellIs" priority="2" operator="lessThan" aboveAverage="0" equalAverage="0" bottom="0" percent="0" rank="0" text="" dxfId="5">
      <formula>0.05</formula>
    </cfRule>
    <cfRule type="cellIs" priority="3" operator="greaterThan" aboveAverage="0" equalAverage="0" bottom="0" percent="0" rank="0" text="" dxfId="6">
      <formula>0.2</formula>
    </cfRule>
  </conditionalFormatting>
  <dataValidations count="1">
    <dataValidation allowBlank="true" errorStyle="stop" operator="between" showDropDown="false" showErrorMessage="false" showInputMessage="false" sqref="I2:I100" type="list">
      <formula1>Config!$E$2:$E$4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4" t="s">
        <v>143</v>
      </c>
      <c r="B1" s="4" t="s">
        <v>43</v>
      </c>
      <c r="C1" s="4" t="s">
        <v>144</v>
      </c>
      <c r="D1" s="4" t="s">
        <v>145</v>
      </c>
      <c r="E1" s="4" t="s">
        <v>146</v>
      </c>
      <c r="F1" s="4" t="s">
        <v>147</v>
      </c>
    </row>
    <row r="2" customFormat="false" ht="23.85" hidden="false" customHeight="false" outlineLevel="0" collapsed="false">
      <c r="A2" s="25" t="s">
        <v>127</v>
      </c>
      <c r="B2" s="25" t="s">
        <v>47</v>
      </c>
      <c r="C2" s="25" t="s">
        <v>148</v>
      </c>
      <c r="D2" s="25" t="s">
        <v>149</v>
      </c>
      <c r="E2" s="25" t="s">
        <v>150</v>
      </c>
      <c r="F2" s="25" t="s">
        <v>151</v>
      </c>
    </row>
    <row r="3" customFormat="false" ht="23.85" hidden="false" customHeight="false" outlineLevel="0" collapsed="false">
      <c r="A3" s="25" t="s">
        <v>152</v>
      </c>
      <c r="B3" s="25" t="s">
        <v>59</v>
      </c>
      <c r="C3" s="25" t="s">
        <v>86</v>
      </c>
      <c r="D3" s="25" t="s">
        <v>153</v>
      </c>
      <c r="E3" s="25" t="s">
        <v>154</v>
      </c>
      <c r="F3" s="25" t="s">
        <v>155</v>
      </c>
    </row>
    <row r="4" customFormat="false" ht="23.85" hidden="false" customHeight="false" outlineLevel="0" collapsed="false">
      <c r="A4" s="25" t="s">
        <v>142</v>
      </c>
      <c r="B4" s="25" t="s">
        <v>55</v>
      </c>
      <c r="C4" s="25" t="s">
        <v>156</v>
      </c>
      <c r="D4" s="25" t="s">
        <v>157</v>
      </c>
      <c r="E4" s="25" t="s">
        <v>158</v>
      </c>
      <c r="F4" s="25" t="s">
        <v>159</v>
      </c>
    </row>
  </sheetData>
  <dataValidations count="1">
    <dataValidation allowBlank="true" errorStyle="stop" operator="between" showDropDown="false" showErrorMessage="false" showInputMessage="false" sqref="B2:B100" type="list">
      <formula1>Config!$F$2:$F$5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1" t="s">
        <v>160</v>
      </c>
      <c r="B1" s="21"/>
      <c r="C1" s="21"/>
    </row>
    <row r="2" customFormat="false" ht="15" hidden="false" customHeight="false" outlineLevel="0" collapsed="false">
      <c r="A2" s="17" t="s">
        <v>161</v>
      </c>
      <c r="B2" s="22" t="n">
        <f aca="false">SUM(E4:E100)</f>
        <v>115.2</v>
      </c>
    </row>
    <row r="3" customFormat="false" ht="15" hidden="false" customHeight="false" outlineLevel="0" collapsed="false">
      <c r="A3" s="4" t="s">
        <v>62</v>
      </c>
      <c r="B3" s="4" t="s">
        <v>162</v>
      </c>
      <c r="C3" s="4" t="s">
        <v>163</v>
      </c>
      <c r="D3" s="4" t="s">
        <v>164</v>
      </c>
      <c r="E3" s="4" t="s">
        <v>165</v>
      </c>
      <c r="F3" s="4" t="s">
        <v>2</v>
      </c>
      <c r="G3" s="4" t="s">
        <v>166</v>
      </c>
    </row>
    <row r="4" customFormat="false" ht="15" hidden="false" customHeight="false" outlineLevel="0" collapsed="false">
      <c r="A4" s="18" t="s">
        <v>78</v>
      </c>
      <c r="B4" s="18" t="s">
        <v>167</v>
      </c>
      <c r="C4" s="19" t="n">
        <v>0.99</v>
      </c>
      <c r="D4" s="18" t="n">
        <v>50</v>
      </c>
      <c r="E4" s="19" t="n">
        <f aca="false">C4*D4</f>
        <v>49.5</v>
      </c>
      <c r="F4" s="18" t="s">
        <v>9</v>
      </c>
      <c r="G4" s="24" t="b">
        <f aca="false">TRUE()</f>
        <v>1</v>
      </c>
    </row>
    <row r="5" customFormat="false" ht="15" hidden="false" customHeight="false" outlineLevel="0" collapsed="false">
      <c r="A5" s="18" t="s">
        <v>90</v>
      </c>
      <c r="B5" s="18" t="s">
        <v>168</v>
      </c>
      <c r="C5" s="19" t="n">
        <v>0.54</v>
      </c>
      <c r="D5" s="18" t="n">
        <v>30</v>
      </c>
      <c r="E5" s="19" t="n">
        <f aca="false">C5*D5</f>
        <v>16.2</v>
      </c>
      <c r="F5" s="18" t="s">
        <v>9</v>
      </c>
      <c r="G5" s="24" t="b">
        <f aca="false">TRUE()</f>
        <v>1</v>
      </c>
    </row>
    <row r="6" customFormat="false" ht="15" hidden="false" customHeight="false" outlineLevel="0" collapsed="false">
      <c r="A6" s="18" t="s">
        <v>78</v>
      </c>
      <c r="B6" s="18" t="s">
        <v>169</v>
      </c>
      <c r="C6" s="19" t="n">
        <v>0.99</v>
      </c>
      <c r="D6" s="18" t="n">
        <v>50</v>
      </c>
      <c r="E6" s="19" t="n">
        <f aca="false">C6*D6</f>
        <v>49.5</v>
      </c>
      <c r="F6" s="18" t="s">
        <v>9</v>
      </c>
      <c r="G6" s="24" t="b">
        <f aca="false">FALSE()</f>
        <v>0</v>
      </c>
    </row>
    <row r="7" customFormat="false" ht="15" hidden="false" customHeight="false" outlineLevel="0" collapsed="false">
      <c r="E7" s="0" t="str">
        <f aca="false">IF(C7&lt;&gt;"",C7*D7,"")</f>
        <v/>
      </c>
    </row>
    <row r="8" customFormat="false" ht="15" hidden="false" customHeight="false" outlineLevel="0" collapsed="false">
      <c r="E8" s="0" t="str">
        <f aca="false">IF(C8&lt;&gt;"",C8*D8,"")</f>
        <v/>
      </c>
    </row>
    <row r="9" customFormat="false" ht="15" hidden="false" customHeight="false" outlineLevel="0" collapsed="false">
      <c r="E9" s="0" t="str">
        <f aca="false">IF(C9&lt;&gt;"",C9*D9,"")</f>
        <v/>
      </c>
    </row>
    <row r="10" customFormat="false" ht="15" hidden="false" customHeight="false" outlineLevel="0" collapsed="false">
      <c r="E10" s="0" t="str">
        <f aca="false">IF(C10&lt;&gt;"",C10*D10,"")</f>
        <v/>
      </c>
    </row>
    <row r="11" customFormat="false" ht="15" hidden="false" customHeight="false" outlineLevel="0" collapsed="false">
      <c r="E11" s="0" t="str">
        <f aca="false">IF(C11&lt;&gt;"",C11*D11,"")</f>
        <v/>
      </c>
    </row>
    <row r="12" customFormat="false" ht="15" hidden="false" customHeight="false" outlineLevel="0" collapsed="false">
      <c r="E12" s="0" t="str">
        <f aca="false">IF(C12&lt;&gt;"",C12*D12,"")</f>
        <v/>
      </c>
    </row>
    <row r="13" customFormat="false" ht="15" hidden="false" customHeight="false" outlineLevel="0" collapsed="false">
      <c r="E13" s="0" t="str">
        <f aca="false">IF(C13&lt;&gt;"",C13*D13,"")</f>
        <v/>
      </c>
    </row>
    <row r="14" customFormat="false" ht="15" hidden="false" customHeight="false" outlineLevel="0" collapsed="false">
      <c r="E14" s="0" t="str">
        <f aca="false">IF(C14&lt;&gt;"",C14*D14,"")</f>
        <v/>
      </c>
    </row>
    <row r="15" customFormat="false" ht="15" hidden="false" customHeight="false" outlineLevel="0" collapsed="false">
      <c r="E15" s="0" t="str">
        <f aca="false">IF(C15&lt;&gt;"",C15*D15,"")</f>
        <v/>
      </c>
    </row>
    <row r="16" customFormat="false" ht="15" hidden="false" customHeight="false" outlineLevel="0" collapsed="false">
      <c r="E16" s="0" t="str">
        <f aca="false">IF(C16&lt;&gt;"",C16*D16,"")</f>
        <v/>
      </c>
    </row>
    <row r="17" customFormat="false" ht="15" hidden="false" customHeight="false" outlineLevel="0" collapsed="false">
      <c r="E17" s="0" t="str">
        <f aca="false">IF(C17&lt;&gt;"",C17*D17,"")</f>
        <v/>
      </c>
    </row>
    <row r="18" customFormat="false" ht="15" hidden="false" customHeight="false" outlineLevel="0" collapsed="false">
      <c r="E18" s="0" t="str">
        <f aca="false">IF(C18&lt;&gt;"",C18*D18,"")</f>
        <v/>
      </c>
    </row>
    <row r="19" customFormat="false" ht="15" hidden="false" customHeight="false" outlineLevel="0" collapsed="false">
      <c r="E19" s="0" t="str">
        <f aca="false">IF(C19&lt;&gt;"",C19*D19,"")</f>
        <v/>
      </c>
    </row>
    <row r="20" customFormat="false" ht="15" hidden="false" customHeight="false" outlineLevel="0" collapsed="false">
      <c r="E20" s="0" t="str">
        <f aca="false">IF(C20&lt;&gt;"",C20*D20,"")</f>
        <v/>
      </c>
    </row>
    <row r="21" customFormat="false" ht="15" hidden="false" customHeight="false" outlineLevel="0" collapsed="false">
      <c r="E21" s="0" t="str">
        <f aca="false">IF(C21&lt;&gt;"",C21*D21,"")</f>
        <v/>
      </c>
    </row>
    <row r="22" customFormat="false" ht="15" hidden="false" customHeight="false" outlineLevel="0" collapsed="false">
      <c r="E22" s="0" t="str">
        <f aca="false">IF(C22&lt;&gt;"",C22*D22,"")</f>
        <v/>
      </c>
    </row>
    <row r="23" customFormat="false" ht="15" hidden="false" customHeight="false" outlineLevel="0" collapsed="false">
      <c r="E23" s="0" t="str">
        <f aca="false">IF(C23&lt;&gt;"",C23*D23,"")</f>
        <v/>
      </c>
    </row>
    <row r="24" customFormat="false" ht="15" hidden="false" customHeight="false" outlineLevel="0" collapsed="false">
      <c r="E24" s="0" t="str">
        <f aca="false">IF(C24&lt;&gt;"",C24*D24,"")</f>
        <v/>
      </c>
    </row>
    <row r="25" customFormat="false" ht="15" hidden="false" customHeight="false" outlineLevel="0" collapsed="false">
      <c r="E25" s="0" t="str">
        <f aca="false">IF(C25&lt;&gt;"",C25*D25,"")</f>
        <v/>
      </c>
    </row>
    <row r="26" customFormat="false" ht="15" hidden="false" customHeight="false" outlineLevel="0" collapsed="false">
      <c r="E26" s="0" t="str">
        <f aca="false">IF(C26&lt;&gt;"",C26*D26,"")</f>
        <v/>
      </c>
    </row>
    <row r="27" customFormat="false" ht="15" hidden="false" customHeight="false" outlineLevel="0" collapsed="false">
      <c r="E27" s="0" t="str">
        <f aca="false">IF(C27&lt;&gt;"",C27*D27,"")</f>
        <v/>
      </c>
    </row>
    <row r="28" customFormat="false" ht="15" hidden="false" customHeight="false" outlineLevel="0" collapsed="false">
      <c r="E28" s="0" t="str">
        <f aca="false">IF(C28&lt;&gt;"",C28*D28,"")</f>
        <v/>
      </c>
    </row>
    <row r="29" customFormat="false" ht="15" hidden="false" customHeight="false" outlineLevel="0" collapsed="false">
      <c r="E29" s="0" t="str">
        <f aca="false">IF(C29&lt;&gt;"",C29*D29,"")</f>
        <v/>
      </c>
    </row>
    <row r="30" customFormat="false" ht="15" hidden="false" customHeight="false" outlineLevel="0" collapsed="false">
      <c r="E30" s="0" t="str">
        <f aca="false">IF(C30&lt;&gt;"",C30*D30,"")</f>
        <v/>
      </c>
    </row>
    <row r="31" customFormat="false" ht="15" hidden="false" customHeight="false" outlineLevel="0" collapsed="false">
      <c r="E31" s="0" t="str">
        <f aca="false">IF(C31&lt;&gt;"",C31*D31,"")</f>
        <v/>
      </c>
    </row>
    <row r="32" customFormat="false" ht="15" hidden="false" customHeight="false" outlineLevel="0" collapsed="false">
      <c r="E32" s="0" t="str">
        <f aca="false">IF(C32&lt;&gt;"",C32*D32,"")</f>
        <v/>
      </c>
    </row>
    <row r="33" customFormat="false" ht="15" hidden="false" customHeight="false" outlineLevel="0" collapsed="false">
      <c r="E33" s="0" t="str">
        <f aca="false">IF(C33&lt;&gt;"",C33*D33,"")</f>
        <v/>
      </c>
    </row>
    <row r="34" customFormat="false" ht="15" hidden="false" customHeight="false" outlineLevel="0" collapsed="false">
      <c r="E34" s="0" t="str">
        <f aca="false">IF(C34&lt;&gt;"",C34*D34,"")</f>
        <v/>
      </c>
    </row>
    <row r="35" customFormat="false" ht="15" hidden="false" customHeight="false" outlineLevel="0" collapsed="false">
      <c r="E35" s="0" t="str">
        <f aca="false">IF(C35&lt;&gt;"",C35*D35,"")</f>
        <v/>
      </c>
    </row>
    <row r="36" customFormat="false" ht="15" hidden="false" customHeight="false" outlineLevel="0" collapsed="false">
      <c r="E36" s="0" t="str">
        <f aca="false">IF(C36&lt;&gt;"",C36*D36,"")</f>
        <v/>
      </c>
    </row>
    <row r="37" customFormat="false" ht="15" hidden="false" customHeight="false" outlineLevel="0" collapsed="false">
      <c r="E37" s="0" t="str">
        <f aca="false">IF(C37&lt;&gt;"",C37*D37,"")</f>
        <v/>
      </c>
    </row>
    <row r="38" customFormat="false" ht="15" hidden="false" customHeight="false" outlineLevel="0" collapsed="false">
      <c r="E38" s="0" t="str">
        <f aca="false">IF(C38&lt;&gt;"",C38*D38,"")</f>
        <v/>
      </c>
    </row>
    <row r="39" customFormat="false" ht="15" hidden="false" customHeight="false" outlineLevel="0" collapsed="false">
      <c r="E39" s="0" t="str">
        <f aca="false">IF(C39&lt;&gt;"",C39*D39,"")</f>
        <v/>
      </c>
    </row>
    <row r="40" customFormat="false" ht="15" hidden="false" customHeight="false" outlineLevel="0" collapsed="false">
      <c r="E40" s="0" t="str">
        <f aca="false">IF(C40&lt;&gt;"",C40*D40,"")</f>
        <v/>
      </c>
    </row>
    <row r="41" customFormat="false" ht="15" hidden="false" customHeight="false" outlineLevel="0" collapsed="false">
      <c r="E41" s="0" t="str">
        <f aca="false">IF(C41&lt;&gt;"",C41*D41,"")</f>
        <v/>
      </c>
    </row>
    <row r="42" customFormat="false" ht="15" hidden="false" customHeight="false" outlineLevel="0" collapsed="false">
      <c r="E42" s="0" t="str">
        <f aca="false">IF(C42&lt;&gt;"",C42*D42,"")</f>
        <v/>
      </c>
    </row>
    <row r="43" customFormat="false" ht="15" hidden="false" customHeight="false" outlineLevel="0" collapsed="false">
      <c r="E43" s="0" t="str">
        <f aca="false">IF(C43&lt;&gt;"",C43*D43,"")</f>
        <v/>
      </c>
    </row>
    <row r="44" customFormat="false" ht="15" hidden="false" customHeight="false" outlineLevel="0" collapsed="false">
      <c r="E44" s="0" t="str">
        <f aca="false">IF(C44&lt;&gt;"",C44*D44,"")</f>
        <v/>
      </c>
    </row>
    <row r="45" customFormat="false" ht="15" hidden="false" customHeight="false" outlineLevel="0" collapsed="false">
      <c r="E45" s="0" t="str">
        <f aca="false">IF(C45&lt;&gt;"",C45*D45,"")</f>
        <v/>
      </c>
    </row>
    <row r="46" customFormat="false" ht="15" hidden="false" customHeight="false" outlineLevel="0" collapsed="false">
      <c r="E46" s="0" t="str">
        <f aca="false">IF(C46&lt;&gt;"",C46*D46,"")</f>
        <v/>
      </c>
    </row>
    <row r="47" customFormat="false" ht="15" hidden="false" customHeight="false" outlineLevel="0" collapsed="false">
      <c r="E47" s="0" t="str">
        <f aca="false">IF(C47&lt;&gt;"",C47*D47,"")</f>
        <v/>
      </c>
    </row>
    <row r="48" customFormat="false" ht="15" hidden="false" customHeight="false" outlineLevel="0" collapsed="false">
      <c r="E48" s="0" t="str">
        <f aca="false">IF(C48&lt;&gt;"",C48*D48,"")</f>
        <v/>
      </c>
    </row>
    <row r="49" customFormat="false" ht="15" hidden="false" customHeight="false" outlineLevel="0" collapsed="false">
      <c r="E49" s="0" t="str">
        <f aca="false">IF(C49&lt;&gt;"",C49*D49,"")</f>
        <v/>
      </c>
    </row>
    <row r="50" customFormat="false" ht="15" hidden="false" customHeight="false" outlineLevel="0" collapsed="false">
      <c r="E50" s="0" t="str">
        <f aca="false">IF(C50&lt;&gt;"",C50*D50,"")</f>
        <v/>
      </c>
    </row>
    <row r="51" customFormat="false" ht="15" hidden="false" customHeight="false" outlineLevel="0" collapsed="false">
      <c r="E51" s="0" t="str">
        <f aca="false">IF(C51&lt;&gt;"",C51*D51,"")</f>
        <v/>
      </c>
    </row>
    <row r="52" customFormat="false" ht="15" hidden="false" customHeight="false" outlineLevel="0" collapsed="false">
      <c r="E52" s="0" t="str">
        <f aca="false">IF(C52&lt;&gt;"",C52*D52,"")</f>
        <v/>
      </c>
    </row>
    <row r="53" customFormat="false" ht="15" hidden="false" customHeight="false" outlineLevel="0" collapsed="false">
      <c r="E53" s="0" t="str">
        <f aca="false">IF(C53&lt;&gt;"",C53*D53,"")</f>
        <v/>
      </c>
    </row>
    <row r="54" customFormat="false" ht="15" hidden="false" customHeight="false" outlineLevel="0" collapsed="false">
      <c r="E54" s="0" t="str">
        <f aca="false">IF(C54&lt;&gt;"",C54*D54,"")</f>
        <v/>
      </c>
    </row>
    <row r="55" customFormat="false" ht="15" hidden="false" customHeight="false" outlineLevel="0" collapsed="false">
      <c r="E55" s="0" t="str">
        <f aca="false">IF(C55&lt;&gt;"",C55*D55,"")</f>
        <v/>
      </c>
    </row>
    <row r="56" customFormat="false" ht="15" hidden="false" customHeight="false" outlineLevel="0" collapsed="false">
      <c r="E56" s="0" t="str">
        <f aca="false">IF(C56&lt;&gt;"",C56*D56,"")</f>
        <v/>
      </c>
    </row>
    <row r="57" customFormat="false" ht="15" hidden="false" customHeight="false" outlineLevel="0" collapsed="false">
      <c r="E57" s="0" t="str">
        <f aca="false">IF(C57&lt;&gt;"",C57*D57,"")</f>
        <v/>
      </c>
    </row>
    <row r="58" customFormat="false" ht="15" hidden="false" customHeight="false" outlineLevel="0" collapsed="false">
      <c r="E58" s="0" t="str">
        <f aca="false">IF(C58&lt;&gt;"",C58*D58,"")</f>
        <v/>
      </c>
    </row>
    <row r="59" customFormat="false" ht="15" hidden="false" customHeight="false" outlineLevel="0" collapsed="false">
      <c r="E59" s="0" t="str">
        <f aca="false">IF(C59&lt;&gt;"",C59*D59,"")</f>
        <v/>
      </c>
    </row>
    <row r="60" customFormat="false" ht="15" hidden="false" customHeight="false" outlineLevel="0" collapsed="false">
      <c r="E60" s="0" t="str">
        <f aca="false">IF(C60&lt;&gt;"",C60*D60,"")</f>
        <v/>
      </c>
    </row>
    <row r="61" customFormat="false" ht="15" hidden="false" customHeight="false" outlineLevel="0" collapsed="false">
      <c r="E61" s="0" t="str">
        <f aca="false">IF(C61&lt;&gt;"",C61*D61,"")</f>
        <v/>
      </c>
    </row>
    <row r="62" customFormat="false" ht="15" hidden="false" customHeight="false" outlineLevel="0" collapsed="false">
      <c r="E62" s="0" t="str">
        <f aca="false">IF(C62&lt;&gt;"",C62*D62,"")</f>
        <v/>
      </c>
    </row>
    <row r="63" customFormat="false" ht="15" hidden="false" customHeight="false" outlineLevel="0" collapsed="false">
      <c r="E63" s="0" t="str">
        <f aca="false">IF(C63&lt;&gt;"",C63*D63,"")</f>
        <v/>
      </c>
    </row>
    <row r="64" customFormat="false" ht="15" hidden="false" customHeight="false" outlineLevel="0" collapsed="false">
      <c r="E64" s="0" t="str">
        <f aca="false">IF(C64&lt;&gt;"",C64*D64,"")</f>
        <v/>
      </c>
    </row>
    <row r="65" customFormat="false" ht="15" hidden="false" customHeight="false" outlineLevel="0" collapsed="false">
      <c r="E65" s="0" t="str">
        <f aca="false">IF(C65&lt;&gt;"",C65*D65,"")</f>
        <v/>
      </c>
    </row>
    <row r="66" customFormat="false" ht="15" hidden="false" customHeight="false" outlineLevel="0" collapsed="false">
      <c r="E66" s="0" t="str">
        <f aca="false">IF(C66&lt;&gt;"",C66*D66,"")</f>
        <v/>
      </c>
    </row>
    <row r="67" customFormat="false" ht="15" hidden="false" customHeight="false" outlineLevel="0" collapsed="false">
      <c r="E67" s="0" t="str">
        <f aca="false">IF(C67&lt;&gt;"",C67*D67,"")</f>
        <v/>
      </c>
    </row>
    <row r="68" customFormat="false" ht="15" hidden="false" customHeight="false" outlineLevel="0" collapsed="false">
      <c r="E68" s="0" t="str">
        <f aca="false">IF(C68&lt;&gt;"",C68*D68,"")</f>
        <v/>
      </c>
    </row>
    <row r="69" customFormat="false" ht="15" hidden="false" customHeight="false" outlineLevel="0" collapsed="false">
      <c r="E69" s="0" t="str">
        <f aca="false">IF(C69&lt;&gt;"",C69*D69,"")</f>
        <v/>
      </c>
    </row>
    <row r="70" customFormat="false" ht="15" hidden="false" customHeight="false" outlineLevel="0" collapsed="false">
      <c r="E70" s="0" t="str">
        <f aca="false">IF(C70&lt;&gt;"",C70*D70,"")</f>
        <v/>
      </c>
    </row>
    <row r="71" customFormat="false" ht="15" hidden="false" customHeight="false" outlineLevel="0" collapsed="false">
      <c r="E71" s="0" t="str">
        <f aca="false">IF(C71&lt;&gt;"",C71*D71,"")</f>
        <v/>
      </c>
    </row>
    <row r="72" customFormat="false" ht="15" hidden="false" customHeight="false" outlineLevel="0" collapsed="false">
      <c r="E72" s="0" t="str">
        <f aca="false">IF(C72&lt;&gt;"",C72*D72,"")</f>
        <v/>
      </c>
    </row>
    <row r="73" customFormat="false" ht="15" hidden="false" customHeight="false" outlineLevel="0" collapsed="false">
      <c r="E73" s="0" t="str">
        <f aca="false">IF(C73&lt;&gt;"",C73*D73,"")</f>
        <v/>
      </c>
    </row>
    <row r="74" customFormat="false" ht="15" hidden="false" customHeight="false" outlineLevel="0" collapsed="false">
      <c r="E74" s="0" t="str">
        <f aca="false">IF(C74&lt;&gt;"",C74*D74,"")</f>
        <v/>
      </c>
    </row>
    <row r="75" customFormat="false" ht="15" hidden="false" customHeight="false" outlineLevel="0" collapsed="false">
      <c r="E75" s="0" t="str">
        <f aca="false">IF(C75&lt;&gt;"",C75*D75,"")</f>
        <v/>
      </c>
    </row>
    <row r="76" customFormat="false" ht="15" hidden="false" customHeight="false" outlineLevel="0" collapsed="false">
      <c r="E76" s="0" t="str">
        <f aca="false">IF(C76&lt;&gt;"",C76*D76,"")</f>
        <v/>
      </c>
    </row>
    <row r="77" customFormat="false" ht="15" hidden="false" customHeight="false" outlineLevel="0" collapsed="false">
      <c r="E77" s="0" t="str">
        <f aca="false">IF(C77&lt;&gt;"",C77*D77,"")</f>
        <v/>
      </c>
    </row>
    <row r="78" customFormat="false" ht="15" hidden="false" customHeight="false" outlineLevel="0" collapsed="false">
      <c r="E78" s="0" t="str">
        <f aca="false">IF(C78&lt;&gt;"",C78*D78,"")</f>
        <v/>
      </c>
    </row>
    <row r="79" customFormat="false" ht="15" hidden="false" customHeight="false" outlineLevel="0" collapsed="false">
      <c r="E79" s="0" t="str">
        <f aca="false">IF(C79&lt;&gt;"",C79*D79,"")</f>
        <v/>
      </c>
    </row>
    <row r="80" customFormat="false" ht="15" hidden="false" customHeight="false" outlineLevel="0" collapsed="false">
      <c r="E80" s="0" t="str">
        <f aca="false">IF(C80&lt;&gt;"",C80*D80,"")</f>
        <v/>
      </c>
    </row>
    <row r="81" customFormat="false" ht="15" hidden="false" customHeight="false" outlineLevel="0" collapsed="false">
      <c r="E81" s="0" t="str">
        <f aca="false">IF(C81&lt;&gt;"",C81*D81,"")</f>
        <v/>
      </c>
    </row>
    <row r="82" customFormat="false" ht="15" hidden="false" customHeight="false" outlineLevel="0" collapsed="false">
      <c r="E82" s="0" t="str">
        <f aca="false">IF(C82&lt;&gt;"",C82*D82,"")</f>
        <v/>
      </c>
    </row>
    <row r="83" customFormat="false" ht="15" hidden="false" customHeight="false" outlineLevel="0" collapsed="false">
      <c r="E83" s="0" t="str">
        <f aca="false">IF(C83&lt;&gt;"",C83*D83,"")</f>
        <v/>
      </c>
    </row>
    <row r="84" customFormat="false" ht="15" hidden="false" customHeight="false" outlineLevel="0" collapsed="false">
      <c r="E84" s="0" t="str">
        <f aca="false">IF(C84&lt;&gt;"",C84*D84,"")</f>
        <v/>
      </c>
    </row>
    <row r="85" customFormat="false" ht="15" hidden="false" customHeight="false" outlineLevel="0" collapsed="false">
      <c r="E85" s="0" t="str">
        <f aca="false">IF(C85&lt;&gt;"",C85*D85,"")</f>
        <v/>
      </c>
    </row>
    <row r="86" customFormat="false" ht="15" hidden="false" customHeight="false" outlineLevel="0" collapsed="false">
      <c r="E86" s="0" t="str">
        <f aca="false">IF(C86&lt;&gt;"",C86*D86,"")</f>
        <v/>
      </c>
    </row>
    <row r="87" customFormat="false" ht="15" hidden="false" customHeight="false" outlineLevel="0" collapsed="false">
      <c r="E87" s="0" t="str">
        <f aca="false">IF(C87&lt;&gt;"",C87*D87,"")</f>
        <v/>
      </c>
    </row>
    <row r="88" customFormat="false" ht="15" hidden="false" customHeight="false" outlineLevel="0" collapsed="false">
      <c r="E88" s="0" t="str">
        <f aca="false">IF(C88&lt;&gt;"",C88*D88,"")</f>
        <v/>
      </c>
    </row>
    <row r="89" customFormat="false" ht="15" hidden="false" customHeight="false" outlineLevel="0" collapsed="false">
      <c r="E89" s="0" t="str">
        <f aca="false">IF(C89&lt;&gt;"",C89*D89,"")</f>
        <v/>
      </c>
    </row>
    <row r="90" customFormat="false" ht="15" hidden="false" customHeight="false" outlineLevel="0" collapsed="false">
      <c r="E90" s="0" t="str">
        <f aca="false">IF(C90&lt;&gt;"",C90*D90,"")</f>
        <v/>
      </c>
    </row>
    <row r="91" customFormat="false" ht="15" hidden="false" customHeight="false" outlineLevel="0" collapsed="false">
      <c r="E91" s="0" t="str">
        <f aca="false">IF(C91&lt;&gt;"",C91*D91,"")</f>
        <v/>
      </c>
    </row>
    <row r="92" customFormat="false" ht="15" hidden="false" customHeight="false" outlineLevel="0" collapsed="false">
      <c r="E92" s="0" t="str">
        <f aca="false">IF(C92&lt;&gt;"",C92*D92,"")</f>
        <v/>
      </c>
    </row>
    <row r="93" customFormat="false" ht="15" hidden="false" customHeight="false" outlineLevel="0" collapsed="false">
      <c r="E93" s="0" t="str">
        <f aca="false">IF(C93&lt;&gt;"",C93*D93,"")</f>
        <v/>
      </c>
    </row>
    <row r="94" customFormat="false" ht="15" hidden="false" customHeight="false" outlineLevel="0" collapsed="false">
      <c r="E94" s="0" t="str">
        <f aca="false">IF(C94&lt;&gt;"",C94*D94,"")</f>
        <v/>
      </c>
    </row>
    <row r="95" customFormat="false" ht="15" hidden="false" customHeight="false" outlineLevel="0" collapsed="false">
      <c r="E95" s="0" t="str">
        <f aca="false">IF(C95&lt;&gt;"",C95*D95,"")</f>
        <v/>
      </c>
    </row>
    <row r="96" customFormat="false" ht="15" hidden="false" customHeight="false" outlineLevel="0" collapsed="false">
      <c r="E96" s="0" t="str">
        <f aca="false">IF(C96&lt;&gt;"",C96*D96,"")</f>
        <v/>
      </c>
    </row>
    <row r="97" customFormat="false" ht="15" hidden="false" customHeight="false" outlineLevel="0" collapsed="false">
      <c r="E97" s="0" t="str">
        <f aca="false">IF(C97&lt;&gt;"",C97*D97,"")</f>
        <v/>
      </c>
    </row>
    <row r="98" customFormat="false" ht="15" hidden="false" customHeight="false" outlineLevel="0" collapsed="false">
      <c r="E98" s="0" t="str">
        <f aca="false">IF(C98&lt;&gt;"",C98*D98,"")</f>
        <v/>
      </c>
    </row>
    <row r="99" customFormat="false" ht="15" hidden="false" customHeight="false" outlineLevel="0" collapsed="false">
      <c r="E99" s="0" t="str">
        <f aca="false">IF(C99&lt;&gt;"",C99*D99,"")</f>
        <v/>
      </c>
    </row>
    <row r="100" customFormat="false" ht="15" hidden="false" customHeight="false" outlineLevel="0" collapsed="false">
      <c r="E100" s="0" t="str">
        <f aca="false">IF(C100&lt;&gt;"",C100*D100,"")</f>
        <v/>
      </c>
    </row>
  </sheetData>
  <mergeCells count="1">
    <mergeCell ref="A1:C1"/>
  </mergeCells>
  <dataValidations count="1">
    <dataValidation allowBlank="true" errorStyle="stop" operator="between" showDropDown="false" showErrorMessage="false" showInputMessage="false" sqref="F4:F100" type="list">
      <formula1>Config!$A$2:$A$5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26" t="s">
        <v>170</v>
      </c>
    </row>
    <row r="2" customFormat="false" ht="15" hidden="false" customHeight="false" outlineLevel="0" collapsed="false">
      <c r="A2" s="27"/>
    </row>
    <row r="3" customFormat="false" ht="15" hidden="false" customHeight="false" outlineLevel="0" collapsed="false">
      <c r="A3" s="28" t="s">
        <v>171</v>
      </c>
    </row>
    <row r="4" customFormat="false" ht="15" hidden="false" customHeight="false" outlineLevel="0" collapsed="false">
      <c r="A4" s="29" t="s">
        <v>172</v>
      </c>
    </row>
    <row r="5" customFormat="false" ht="15" hidden="false" customHeight="false" outlineLevel="0" collapsed="false">
      <c r="A5" s="29" t="s">
        <v>173</v>
      </c>
    </row>
    <row r="6" customFormat="false" ht="15" hidden="false" customHeight="false" outlineLevel="0" collapsed="false">
      <c r="A6" s="29" t="s">
        <v>174</v>
      </c>
    </row>
    <row r="7" customFormat="false" ht="15" hidden="false" customHeight="false" outlineLevel="0" collapsed="false">
      <c r="A7" s="27"/>
    </row>
    <row r="8" customFormat="false" ht="15" hidden="false" customHeight="false" outlineLevel="0" collapsed="false">
      <c r="A8" s="28" t="s">
        <v>175</v>
      </c>
    </row>
    <row r="9" customFormat="false" ht="15" hidden="false" customHeight="false" outlineLevel="0" collapsed="false">
      <c r="A9" s="29" t="s">
        <v>176</v>
      </c>
    </row>
    <row r="10" customFormat="false" ht="15" hidden="false" customHeight="false" outlineLevel="0" collapsed="false">
      <c r="A10" s="29" t="s">
        <v>177</v>
      </c>
    </row>
    <row r="11" customFormat="false" ht="15" hidden="false" customHeight="false" outlineLevel="0" collapsed="false">
      <c r="A11" s="29" t="s">
        <v>178</v>
      </c>
    </row>
    <row r="12" customFormat="false" ht="15" hidden="false" customHeight="false" outlineLevel="0" collapsed="false">
      <c r="A12" s="30" t="s">
        <v>179</v>
      </c>
    </row>
    <row r="13" customFormat="false" ht="15" hidden="false" customHeight="false" outlineLevel="0" collapsed="false">
      <c r="A13" s="27"/>
    </row>
    <row r="14" customFormat="false" ht="15" hidden="false" customHeight="false" outlineLevel="0" collapsed="false">
      <c r="A14" s="28" t="s">
        <v>180</v>
      </c>
    </row>
    <row r="15" customFormat="false" ht="15" hidden="false" customHeight="false" outlineLevel="0" collapsed="false">
      <c r="A15" s="29" t="s">
        <v>181</v>
      </c>
    </row>
    <row r="16" customFormat="false" ht="15" hidden="false" customHeight="false" outlineLevel="0" collapsed="false">
      <c r="A16" s="29" t="s">
        <v>182</v>
      </c>
    </row>
    <row r="17" customFormat="false" ht="15" hidden="false" customHeight="false" outlineLevel="0" collapsed="false">
      <c r="A17" s="29" t="s">
        <v>183</v>
      </c>
    </row>
    <row r="18" customFormat="false" ht="15" hidden="false" customHeight="false" outlineLevel="0" collapsed="false">
      <c r="A18" s="29" t="s">
        <v>184</v>
      </c>
    </row>
    <row r="19" customFormat="false" ht="15" hidden="false" customHeight="false" outlineLevel="0" collapsed="false">
      <c r="A19" s="27"/>
    </row>
    <row r="20" customFormat="false" ht="15" hidden="false" customHeight="false" outlineLevel="0" collapsed="false">
      <c r="A20" s="28" t="s">
        <v>185</v>
      </c>
    </row>
    <row r="21" customFormat="false" ht="15" hidden="false" customHeight="false" outlineLevel="0" collapsed="false">
      <c r="A21" s="29" t="s">
        <v>186</v>
      </c>
    </row>
    <row r="22" customFormat="false" ht="15" hidden="false" customHeight="false" outlineLevel="0" collapsed="false">
      <c r="A22" s="29" t="s">
        <v>187</v>
      </c>
    </row>
    <row r="23" customFormat="false" ht="15" hidden="false" customHeight="false" outlineLevel="0" collapsed="false">
      <c r="A23" s="29" t="s">
        <v>188</v>
      </c>
    </row>
    <row r="24" customFormat="false" ht="15" hidden="false" customHeight="false" outlineLevel="0" collapsed="false">
      <c r="A24" s="27"/>
    </row>
    <row r="25" customFormat="false" ht="15" hidden="false" customHeight="false" outlineLevel="0" collapsed="false">
      <c r="A25" s="28" t="s">
        <v>189</v>
      </c>
    </row>
    <row r="26" customFormat="false" ht="15" hidden="false" customHeight="false" outlineLevel="0" collapsed="false">
      <c r="A26" s="29" t="s">
        <v>190</v>
      </c>
    </row>
    <row r="27" customFormat="false" ht="15" hidden="false" customHeight="false" outlineLevel="0" collapsed="false">
      <c r="A27" s="29" t="s">
        <v>191</v>
      </c>
    </row>
    <row r="28" customFormat="false" ht="15" hidden="false" customHeight="false" outlineLevel="0" collapsed="false">
      <c r="A28" s="29" t="s">
        <v>192</v>
      </c>
    </row>
    <row r="29" customFormat="false" ht="15" hidden="false" customHeight="false" outlineLevel="0" collapsed="false">
      <c r="A29" s="27"/>
    </row>
    <row r="30" customFormat="false" ht="15" hidden="false" customHeight="false" outlineLevel="0" collapsed="false">
      <c r="A30" s="28" t="s">
        <v>193</v>
      </c>
    </row>
    <row r="31" customFormat="false" ht="15" hidden="false" customHeight="false" outlineLevel="0" collapsed="false">
      <c r="A31" s="29" t="s">
        <v>194</v>
      </c>
    </row>
    <row r="32" customFormat="false" ht="15" hidden="false" customHeight="false" outlineLevel="0" collapsed="false">
      <c r="A32" s="29" t="s">
        <v>195</v>
      </c>
    </row>
    <row r="33" customFormat="false" ht="15" hidden="false" customHeight="false" outlineLevel="0" collapsed="false">
      <c r="A33" s="27"/>
    </row>
    <row r="34" customFormat="false" ht="15" hidden="false" customHeight="false" outlineLevel="0" collapsed="false">
      <c r="A34" s="28" t="s">
        <v>196</v>
      </c>
    </row>
    <row r="35" customFormat="false" ht="15" hidden="false" customHeight="false" outlineLevel="0" collapsed="false">
      <c r="A35" s="29" t="s">
        <v>197</v>
      </c>
    </row>
    <row r="36" customFormat="false" ht="15" hidden="false" customHeight="false" outlineLevel="0" collapsed="false">
      <c r="A36" s="31" t="s">
        <v>198</v>
      </c>
    </row>
    <row r="37" customFormat="false" ht="15" hidden="false" customHeight="false" outlineLevel="0" collapsed="false">
      <c r="A37" s="27"/>
    </row>
    <row r="38" customFormat="false" ht="15" hidden="false" customHeight="false" outlineLevel="0" collapsed="false">
      <c r="A38" s="28" t="s">
        <v>199</v>
      </c>
    </row>
    <row r="39" customFormat="false" ht="15" hidden="false" customHeight="false" outlineLevel="0" collapsed="false">
      <c r="A39" s="29" t="s">
        <v>200</v>
      </c>
    </row>
    <row r="40" customFormat="false" ht="15" hidden="false" customHeight="false" outlineLevel="0" collapsed="false">
      <c r="A40" s="29" t="s">
        <v>201</v>
      </c>
    </row>
    <row r="41" customFormat="false" ht="15" hidden="false" customHeight="false" outlineLevel="0" collapsed="false">
      <c r="A41" s="29" t="s">
        <v>202</v>
      </c>
    </row>
    <row r="42" customFormat="false" ht="15" hidden="false" customHeight="false" outlineLevel="0" collapsed="false">
      <c r="A42" s="29" t="s">
        <v>203</v>
      </c>
    </row>
    <row r="43" customFormat="false" ht="15" hidden="false" customHeight="false" outlineLevel="0" collapsed="false">
      <c r="A43" s="27"/>
    </row>
    <row r="44" customFormat="false" ht="15" hidden="false" customHeight="false" outlineLevel="0" collapsed="false">
      <c r="A44" s="28" t="s">
        <v>204</v>
      </c>
    </row>
    <row r="45" customFormat="false" ht="15" hidden="false" customHeight="false" outlineLevel="0" collapsed="false">
      <c r="A45" s="29" t="s">
        <v>205</v>
      </c>
    </row>
    <row r="46" customFormat="false" ht="15" hidden="false" customHeight="false" outlineLevel="0" collapsed="false">
      <c r="A46" s="3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2026-04-02T20:38:46Z</dcterms:created>
  <dc:creator>openpyxl</dc:creator>
  <dc:description/>
  <dc:language>en-US</dc:language>
  <cp:lastModifiedBy/>
  <dcterms:modified xsi:type="dcterms:W3CDTF">2026-04-02T20:38:46Z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