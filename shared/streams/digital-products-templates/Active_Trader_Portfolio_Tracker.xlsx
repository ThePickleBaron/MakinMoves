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ositions" sheetId="2" state="visible" r:id="rId4"/>
    <sheet name="Realized Trades" sheetId="3" state="visible" r:id="rId5"/>
    <sheet name="Watchlist" sheetId="4" state="visible" r:id="rId6"/>
    <sheet name="Trade Journal" sheetId="5" state="visible" r:id="rId7"/>
    <sheet name="Dividend Tracker" sheetId="6" state="visible" r:id="rId8"/>
    <sheet name="How To Use" sheetId="7" state="visible" r:id="rId9"/>
  </sheets>
  <definedNames>
    <definedName function="false" hidden="true" localSheetId="1" name="_xlnm._FilterDatabase" vbProcedure="false">Positions!$A$1:$T$200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<sst xmlns="http://schemas.openxmlformats.org/spreadsheetml/2006/main" count="238" uniqueCount="170">
  <si>
    <t xml:space="preserve">ACTIVE TRADER PORTFOLIO TRACKER</t>
  </si>
  <si>
    <t xml:space="preserve">ACCOUNT SUMMARY</t>
  </si>
  <si>
    <t xml:space="preserve">Account</t>
  </si>
  <si>
    <t xml:space="preserve">Market Value</t>
  </si>
  <si>
    <t xml:space="preserve">Cost Basis</t>
  </si>
  <si>
    <t xml:space="preserve">Gain/Loss $</t>
  </si>
  <si>
    <t xml:space="preserve">Gain/Loss %</t>
  </si>
  <si>
    <t xml:space="preserve"># Positions</t>
  </si>
  <si>
    <t xml:space="preserve">Individual</t>
  </si>
  <si>
    <t xml:space="preserve">Rollover IRA</t>
  </si>
  <si>
    <t xml:space="preserve">ALL ACCOUNTS</t>
  </si>
  <si>
    <t xml:space="preserve">SECTOR ALLOCATION</t>
  </si>
  <si>
    <t xml:space="preserve">Sector</t>
  </si>
  <si>
    <t xml:space="preserve">% of Portfolio</t>
  </si>
  <si>
    <t xml:space="preserve">Energy</t>
  </si>
  <si>
    <t xml:space="preserve">IT</t>
  </si>
  <si>
    <t xml:space="preserve">Materials</t>
  </si>
  <si>
    <t xml:space="preserve">Healthcare</t>
  </si>
  <si>
    <t xml:space="preserve">Industrials</t>
  </si>
  <si>
    <t xml:space="preserve">Financials</t>
  </si>
  <si>
    <t xml:space="preserve">Consumer</t>
  </si>
  <si>
    <t xml:space="preserve">Utilities</t>
  </si>
  <si>
    <t xml:space="preserve">Comm Services</t>
  </si>
  <si>
    <t xml:space="preserve">Real Estate</t>
  </si>
  <si>
    <t xml:space="preserve">MACRO INDICATORS</t>
  </si>
  <si>
    <t xml:space="preserve">Indicator</t>
  </si>
  <si>
    <t xml:space="preserve">Value</t>
  </si>
  <si>
    <t xml:space="preserve">Trend</t>
  </si>
  <si>
    <t xml:space="preserve">Notes</t>
  </si>
  <si>
    <t xml:space="preserve">Brent Crude</t>
  </si>
  <si>
    <t xml:space="preserve">Gold (oz)</t>
  </si>
  <si>
    <t xml:space="preserve">Auto (GLD ETF)</t>
  </si>
  <si>
    <t xml:space="preserve">DXY</t>
  </si>
  <si>
    <t xml:space="preserve">10Y Treasury</t>
  </si>
  <si>
    <t xml:space="preserve">VIX</t>
  </si>
  <si>
    <t xml:space="preserve">Symbol</t>
  </si>
  <si>
    <t xml:space="preserve">Description</t>
  </si>
  <si>
    <t xml:space="preserve">Asset Type</t>
  </si>
  <si>
    <t xml:space="preserve">Quantity</t>
  </si>
  <si>
    <t xml:space="preserve">Avg Cost/Share</t>
  </si>
  <si>
    <t xml:space="preserve">Current Price</t>
  </si>
  <si>
    <t xml:space="preserve">Div Yield</t>
  </si>
  <si>
    <t xml:space="preserve">Div Pay Date</t>
  </si>
  <si>
    <t xml:space="preserve">Status</t>
  </si>
  <si>
    <t xml:space="preserve">Exit Target</t>
  </si>
  <si>
    <t xml:space="preserve">Stop Loss</t>
  </si>
  <si>
    <t xml:space="preserve">Tags</t>
  </si>
  <si>
    <t xml:space="preserve">Thesis</t>
  </si>
  <si>
    <t xml:space="preserve">AAPL</t>
  </si>
  <si>
    <t xml:space="preserve">Apple Inc</t>
  </si>
  <si>
    <t xml:space="preserve">Equity</t>
  </si>
  <si>
    <t xml:space="preserve">Active</t>
  </si>
  <si>
    <t xml:space="preserve">Momentum, Long Term</t>
  </si>
  <si>
    <t xml:space="preserve">Core tech holding. Strong services revenue growth.</t>
  </si>
  <si>
    <t xml:space="preserve">XOM</t>
  </si>
  <si>
    <t xml:space="preserve">Exxon Mobil Corp</t>
  </si>
  <si>
    <t xml:space="preserve">Dividend, Value</t>
  </si>
  <si>
    <t xml:space="preserve">Energy supercycle play. Domestic production hedge.</t>
  </si>
  <si>
    <t xml:space="preserve">GLD</t>
  </si>
  <si>
    <t xml:space="preserve">SPDR Gold Shares</t>
  </si>
  <si>
    <t xml:space="preserve">ETF</t>
  </si>
  <si>
    <t xml:space="preserve">Hedge</t>
  </si>
  <si>
    <t xml:space="preserve">Gold vault position. Capital preservation.</t>
  </si>
  <si>
    <t xml:space="preserve">INTC</t>
  </si>
  <si>
    <t xml:space="preserve">Intel Corp</t>
  </si>
  <si>
    <t xml:space="preserve">Value, Speculative</t>
  </si>
  <si>
    <t xml:space="preserve">Turnaround bet on foundry business.</t>
  </si>
  <si>
    <t xml:space="preserve">NTR</t>
  </si>
  <si>
    <t xml:space="preserve">Nutrien Ltd</t>
  </si>
  <si>
    <t xml:space="preserve">Value, Dividend</t>
  </si>
  <si>
    <t xml:space="preserve">Worlds largest potash producer. Fertilizer anchor.</t>
  </si>
  <si>
    <t xml:space="preserve">NAT</t>
  </si>
  <si>
    <t xml:space="preserve">Nordic American Tanker</t>
  </si>
  <si>
    <t xml:space="preserve">Tanker play. Longer voyages = more revenue.</t>
  </si>
  <si>
    <t xml:space="preserve">CF</t>
  </si>
  <si>
    <t xml:space="preserve">CF Industries</t>
  </si>
  <si>
    <t xml:space="preserve">US nitrogen producer. Cheapest nat gas input costs.</t>
  </si>
  <si>
    <t xml:space="preserve">GNK</t>
  </si>
  <si>
    <t xml:space="preserve">Genco Shipping</t>
  </si>
  <si>
    <t xml:space="preserve">Dry bulk shipping. Grain and fertilizer transport.</t>
  </si>
  <si>
    <t xml:space="preserve">Open Date</t>
  </si>
  <si>
    <t xml:space="preserve">Close Date</t>
  </si>
  <si>
    <t xml:space="preserve">Proceeds/Share</t>
  </si>
  <si>
    <t xml:space="preserve">Cost/Share</t>
  </si>
  <si>
    <t xml:space="preserve">Proceeds</t>
  </si>
  <si>
    <t xml:space="preserve">Term</t>
  </si>
  <si>
    <t xml:space="preserve">Wash Sale?</t>
  </si>
  <si>
    <t xml:space="preserve">Disallowed Loss</t>
  </si>
  <si>
    <t xml:space="preserve">AAOI</t>
  </si>
  <si>
    <t xml:space="preserve">Applied Optoelectronics</t>
  </si>
  <si>
    <t xml:space="preserve">2026-03-05</t>
  </si>
  <si>
    <t xml:space="preserve">2026-03-10</t>
  </si>
  <si>
    <t xml:space="preserve">LITE</t>
  </si>
  <si>
    <t xml:space="preserve">Lumentum Holdings</t>
  </si>
  <si>
    <t xml:space="preserve">2026-03-15</t>
  </si>
  <si>
    <t xml:space="preserve">2026-04-01</t>
  </si>
  <si>
    <t xml:space="preserve">RIG</t>
  </si>
  <si>
    <t xml:space="preserve">Transocean</t>
  </si>
  <si>
    <t xml:space="preserve">2026-03-25</t>
  </si>
  <si>
    <t xml:space="preserve">2026-03-31</t>
  </si>
  <si>
    <t xml:space="preserve">YTD SUMMARY</t>
  </si>
  <si>
    <t xml:space="preserve">Total Realized G/L</t>
  </si>
  <si>
    <t xml:space="preserve">Target Entry</t>
  </si>
  <si>
    <t xml:space="preserve">Gap to Entry</t>
  </si>
  <si>
    <t xml:space="preserve">Catalyst</t>
  </si>
  <si>
    <t xml:space="preserve">Priority</t>
  </si>
  <si>
    <t xml:space="preserve">Added Date</t>
  </si>
  <si>
    <t xml:space="preserve">ARM</t>
  </si>
  <si>
    <t xml:space="preserve">ARM Holdings</t>
  </si>
  <si>
    <t xml:space="preserve">Semiconductor IP leader. AI chip demand.</t>
  </si>
  <si>
    <t xml:space="preserve">Earnings beat</t>
  </si>
  <si>
    <t xml:space="preserve">Warm</t>
  </si>
  <si>
    <t xml:space="preserve">2026-03-24</t>
  </si>
  <si>
    <t xml:space="preserve">DE</t>
  </si>
  <si>
    <t xml:space="preserve">Deere &amp; Co</t>
  </si>
  <si>
    <t xml:space="preserve">Ag equipment at cycle trough.</t>
  </si>
  <si>
    <t xml:space="preserve">Guidance upgrade</t>
  </si>
  <si>
    <t xml:space="preserve">Cold</t>
  </si>
  <si>
    <t xml:space="preserve">2026-04-02</t>
  </si>
  <si>
    <t xml:space="preserve">PG</t>
  </si>
  <si>
    <t xml:space="preserve">Procter &amp; Gamble</t>
  </si>
  <si>
    <t xml:space="preserve">Recession-proof staples.</t>
  </si>
  <si>
    <t xml:space="preserve">Market selloff</t>
  </si>
  <si>
    <t xml:space="preserve">Date</t>
  </si>
  <si>
    <t xml:space="preserve">Market View</t>
  </si>
  <si>
    <t xml:space="preserve">Symbols</t>
  </si>
  <si>
    <t xml:space="preserve">Decision</t>
  </si>
  <si>
    <t xml:space="preserve">Outcome</t>
  </si>
  <si>
    <t xml:space="preserve">Lesson</t>
  </si>
  <si>
    <t xml:space="preserve">Cautious</t>
  </si>
  <si>
    <t xml:space="preserve">LITE, CF, NTR</t>
  </si>
  <si>
    <t xml:space="preserve">Trimmed LITE. Rotated into fertilizer basket.</t>
  </si>
  <si>
    <t xml:space="preserve">Locked in gains.</t>
  </si>
  <si>
    <t xml:space="preserve">Take profits mechanically.</t>
  </si>
  <si>
    <t xml:space="preserve">GNK, NAT, FJET</t>
  </si>
  <si>
    <t xml:space="preserve">Added GNK with tiered OCO. Doubled NAT.</t>
  </si>
  <si>
    <t xml:space="preserve">All green day one.</t>
  </si>
  <si>
    <t xml:space="preserve">Momentum + defined exits work.</t>
  </si>
  <si>
    <t xml:space="preserve">Pay Date</t>
  </si>
  <si>
    <t xml:space="preserve">Amount/Share</t>
  </si>
  <si>
    <t xml:space="preserve">Shares Held</t>
  </si>
  <si>
    <t xml:space="preserve">Total Payment</t>
  </si>
  <si>
    <t xml:space="preserve">Reinvested?</t>
  </si>
  <si>
    <t xml:space="preserve">No</t>
  </si>
  <si>
    <t xml:space="preserve">ENB</t>
  </si>
  <si>
    <t xml:space="preserve">2026-03-01</t>
  </si>
  <si>
    <t xml:space="preserve">YTD TOTAL</t>
  </si>
  <si>
    <t xml:space="preserve">ACTIVE TRADER PORTFOLIO TRACKER — SETUP GUIDE</t>
  </si>
  <si>
    <t xml:space="preserve">STEP 1: MAKE YOUR OWN COPY</t>
  </si>
  <si>
    <t xml:space="preserve">Google Sheets: File &gt; Make a Copy. Excel: Save As.</t>
  </si>
  <si>
    <t xml:space="preserve">STEP 2: AUTO-PRICING IS ALREADY SET UP</t>
  </si>
  <si>
    <t xml:space="preserve">Column H (Current Price) in Positions and Column D in Watchlist use =GOOGLEFINANCE() automatically.</t>
  </si>
  <si>
    <t xml:space="preserve">Prices update every ~20 min for free. Only works in Google Sheets — not Excel or LibreOffice.</t>
  </si>
  <si>
    <t xml:space="preserve">STEP 3: ADD YOUR POSITIONS</t>
  </si>
  <si>
    <t xml:space="preserve">Delete sample data. Add: Symbol, Description, Account, Sector, Quantity, Avg Cost/Share.</t>
  </si>
  <si>
    <t xml:space="preserve">Market Value, Cost Basis, Gain/Loss auto-calculate. Use dropdowns for Account/Sector/Status.</t>
  </si>
  <si>
    <t xml:space="preserve">STEP 4: LOG TRADES</t>
  </si>
  <si>
    <t xml:space="preserve">Add closed positions to Realized Trades. Term auto-calculates (Short/Long based on hold time).</t>
  </si>
  <si>
    <t xml:space="preserve">STEP 5: WATCHLIST</t>
  </si>
  <si>
    <t xml:space="preserve">Add tickers with target entry prices. Gap to Entry shows how close to your buy price.</t>
  </si>
  <si>
    <t xml:space="preserve">STEP 6: TRADE JOURNAL</t>
  </si>
  <si>
    <t xml:space="preserve">After each session: date, market view, decision, outcome, lesson. Best tool for improving.</t>
  </si>
  <si>
    <t xml:space="preserve">STEP 7: DASHBOARD</t>
  </si>
  <si>
    <t xml:space="preserve">Auto-calculates from Positions. Account summaries, sector allocation, macro indicators.</t>
  </si>
  <si>
    <t xml:space="preserve">TIPS</t>
  </si>
  <si>
    <t xml:space="preserve">- Update at market close daily (2-5 min)</t>
  </si>
  <si>
    <t xml:space="preserve">- The Thesis column is your most valuable field. If a position has no thesis, rethink it.</t>
  </si>
  <si>
    <t xml:space="preserve">- Green = making money. Red = losing money.</t>
  </si>
  <si>
    <t xml:space="preserve">- Dividend data must be entered manually. GOOGLEFINANCE does not reliably provide dividend amounts.</t>
  </si>
  <si>
    <t xml:space="preserve">Built by an active trader managing a six-figure portfolio across multiple accounts.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</si>
</sst>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Cambria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4B556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EE2E2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tr">
        <f aca="true">TEXT(NOW(),"Last updated: mmm d, yyyy  h:mm AM/PM")</f>
        <v>La35t up15at78615: Nissan 15, 2026  5:02 PM</v>
      </c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false" outlineLevel="0" collapsed="false">
      <c r="A6" s="5" t="s">
        <v>8</v>
      </c>
      <c r="B6" s="6" t="e">
        <f aca="false">SUMIFS(Positions!I:I,Positions!C:C,"Individual")</f>
        <v>#NAME?</v>
      </c>
      <c r="C6" s="6" t="n">
        <f aca="false">SUMIFS(Positions!J:J,Positions!C:C,"Individual")</f>
        <v>24303.6</v>
      </c>
      <c r="D6" s="6" t="e">
        <f aca="false">B6-C6</f>
        <v>#NAME?</v>
      </c>
      <c r="E6" s="7" t="e">
        <f aca="false">IF(C6&lt;&gt;0,D6/C6,0)</f>
        <v>#NAME?</v>
      </c>
      <c r="F6" s="8" t="n">
        <f aca="false">COUNTIFS(Positions!C:C,"Individual")</f>
        <v>6</v>
      </c>
    </row>
    <row r="7" customFormat="false" ht="15" hidden="false" customHeight="false" outlineLevel="0" collapsed="false">
      <c r="A7" s="5" t="s">
        <v>9</v>
      </c>
      <c r="B7" s="6" t="e">
        <f aca="false">SUMIFS(Positions!I:I,Positions!C:C,"Rollover IRA")</f>
        <v>#NAME?</v>
      </c>
      <c r="C7" s="6" t="n">
        <f aca="false">SUMIFS(Positions!J:J,Positions!C:C,"Rollover IRA")</f>
        <v>6487</v>
      </c>
      <c r="D7" s="6" t="e">
        <f aca="false">B7-C7</f>
        <v>#NAME?</v>
      </c>
      <c r="E7" s="7" t="e">
        <f aca="false">IF(C7&lt;&gt;0,D7/C7,0)</f>
        <v>#NAME?</v>
      </c>
      <c r="F7" s="8" t="n">
        <f aca="false">COUNTIFS(Positions!C:C,"Rollover IRA")</f>
        <v>2</v>
      </c>
    </row>
    <row r="8" customFormat="false" ht="15" hidden="false" customHeight="false" outlineLevel="0" collapsed="false">
      <c r="A8" s="9" t="s">
        <v>10</v>
      </c>
      <c r="B8" s="6" t="e">
        <f aca="false">SUM(Positions!I:I)</f>
        <v>#NAME?</v>
      </c>
      <c r="C8" s="6" t="n">
        <f aca="false">SUM(Positions!J:J)</f>
        <v>30790.6</v>
      </c>
      <c r="D8" s="6" t="e">
        <f aca="false">B8-C8</f>
        <v>#NAME?</v>
      </c>
      <c r="E8" s="7" t="e">
        <f aca="false">IF(C8&lt;&gt;0,D8/C8,0)</f>
        <v>#NAME?</v>
      </c>
      <c r="F8" s="8" t="n">
        <f aca="false">COUNTA(Positions!A2:A200)</f>
        <v>8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4" t="s">
        <v>12</v>
      </c>
      <c r="B11" s="4" t="s">
        <v>3</v>
      </c>
      <c r="C11" s="4" t="s">
        <v>13</v>
      </c>
    </row>
    <row r="12" customFormat="false" ht="15" hidden="false" customHeight="false" outlineLevel="0" collapsed="false">
      <c r="A12" s="8" t="s">
        <v>14</v>
      </c>
      <c r="B12" s="6" t="e">
        <f aca="false">SUMIFS(Positions!I:I,Positions!D:D,"Energy")</f>
        <v>#NAME?</v>
      </c>
      <c r="C12" s="7" t="e">
        <f aca="false">IF(SUM(Positions!I:I)&lt;&gt;0,B12/SUM(Positions!I:I),0)</f>
        <v>#NAME?</v>
      </c>
    </row>
    <row r="13" customFormat="false" ht="15" hidden="false" customHeight="false" outlineLevel="0" collapsed="false">
      <c r="A13" s="8" t="s">
        <v>15</v>
      </c>
      <c r="B13" s="6" t="e">
        <f aca="false">SUMIFS(Positions!I:I,Positions!D:D,"IT")</f>
        <v>#NAME?</v>
      </c>
      <c r="C13" s="7" t="e">
        <f aca="false">IF(SUM(Positions!I:I)&lt;&gt;0,B13/SUM(Positions!I:I),0)</f>
        <v>#NAME?</v>
      </c>
    </row>
    <row r="14" customFormat="false" ht="15" hidden="false" customHeight="false" outlineLevel="0" collapsed="false">
      <c r="A14" s="8" t="s">
        <v>16</v>
      </c>
      <c r="B14" s="6" t="e">
        <f aca="false">SUMIFS(Positions!I:I,Positions!D:D,"Materials")</f>
        <v>#NAME?</v>
      </c>
      <c r="C14" s="7" t="e">
        <f aca="false">IF(SUM(Positions!I:I)&lt;&gt;0,B14/SUM(Positions!I:I),0)</f>
        <v>#NAME?</v>
      </c>
    </row>
    <row r="15" customFormat="false" ht="15" hidden="false" customHeight="false" outlineLevel="0" collapsed="false">
      <c r="A15" s="8" t="s">
        <v>17</v>
      </c>
      <c r="B15" s="6" t="n">
        <f aca="false">SUMIFS(Positions!I:I,Positions!D:D,"Healthcare")</f>
        <v>0</v>
      </c>
      <c r="C15" s="7" t="e">
        <f aca="false">IF(SUM(Positions!I:I)&lt;&gt;0,B15/SUM(Positions!I:I),0)</f>
        <v>#NAME?</v>
      </c>
    </row>
    <row r="16" customFormat="false" ht="15" hidden="false" customHeight="false" outlineLevel="0" collapsed="false">
      <c r="A16" s="8" t="s">
        <v>18</v>
      </c>
      <c r="B16" s="6" t="e">
        <f aca="false">SUMIFS(Positions!I:I,Positions!D:D,"Industrials")</f>
        <v>#NAME?</v>
      </c>
      <c r="C16" s="7" t="e">
        <f aca="false">IF(SUM(Positions!I:I)&lt;&gt;0,B16/SUM(Positions!I:I),0)</f>
        <v>#NAME?</v>
      </c>
    </row>
    <row r="17" customFormat="false" ht="15" hidden="false" customHeight="false" outlineLevel="0" collapsed="false">
      <c r="A17" s="8" t="s">
        <v>19</v>
      </c>
      <c r="B17" s="6" t="n">
        <f aca="false">SUMIFS(Positions!I:I,Positions!D:D,"Financials")</f>
        <v>0</v>
      </c>
      <c r="C17" s="7" t="e">
        <f aca="false">IF(SUM(Positions!I:I)&lt;&gt;0,B17/SUM(Positions!I:I),0)</f>
        <v>#NAME?</v>
      </c>
    </row>
    <row r="18" customFormat="false" ht="15" hidden="false" customHeight="false" outlineLevel="0" collapsed="false">
      <c r="A18" s="8" t="s">
        <v>20</v>
      </c>
      <c r="B18" s="6" t="n">
        <f aca="false">SUMIFS(Positions!I:I,Positions!D:D,"Consumer")</f>
        <v>0</v>
      </c>
      <c r="C18" s="7" t="e">
        <f aca="false">IF(SUM(Positions!I:I)&lt;&gt;0,B18/SUM(Positions!I:I),0)</f>
        <v>#NAME?</v>
      </c>
    </row>
    <row r="19" customFormat="false" ht="15" hidden="false" customHeight="false" outlineLevel="0" collapsed="false">
      <c r="A19" s="8" t="s">
        <v>21</v>
      </c>
      <c r="B19" s="6" t="n">
        <f aca="false">SUMIFS(Positions!I:I,Positions!D:D,"Utilities")</f>
        <v>0</v>
      </c>
      <c r="C19" s="7" t="e">
        <f aca="false">IF(SUM(Positions!I:I)&lt;&gt;0,B19/SUM(Positions!I:I),0)</f>
        <v>#NAME?</v>
      </c>
    </row>
    <row r="20" customFormat="false" ht="15" hidden="false" customHeight="false" outlineLevel="0" collapsed="false">
      <c r="A20" s="8" t="s">
        <v>22</v>
      </c>
      <c r="B20" s="6" t="n">
        <f aca="false">SUMIFS(Positions!I:I,Positions!D:D,"Comm Services")</f>
        <v>0</v>
      </c>
      <c r="C20" s="7" t="e">
        <f aca="false">IF(SUM(Positions!I:I)&lt;&gt;0,B20/SUM(Positions!I:I),0)</f>
        <v>#NAME?</v>
      </c>
    </row>
    <row r="21" customFormat="false" ht="15" hidden="false" customHeight="false" outlineLevel="0" collapsed="false">
      <c r="A21" s="8" t="s">
        <v>23</v>
      </c>
      <c r="B21" s="6" t="n">
        <f aca="false">SUMIFS(Positions!I:I,Positions!D:D,"Real Estate")</f>
        <v>0</v>
      </c>
      <c r="C21" s="7" t="e">
        <f aca="false">IF(SUM(Positions!I:I)&lt;&gt;0,B21/SUM(Positions!I:I),0)</f>
        <v>#NAME?</v>
      </c>
    </row>
    <row r="23" customFormat="false" ht="15" hidden="false" customHeight="false" outlineLevel="0" collapsed="false">
      <c r="A23" s="3" t="s">
        <v>24</v>
      </c>
    </row>
    <row r="24" customFormat="false" ht="15" hidden="false" customHeight="false" outlineLevel="0" collapsed="false">
      <c r="A24" s="4" t="s">
        <v>25</v>
      </c>
      <c r="B24" s="4" t="s">
        <v>26</v>
      </c>
      <c r="C24" s="4" t="s">
        <v>27</v>
      </c>
      <c r="D24" s="4" t="s">
        <v>28</v>
      </c>
    </row>
    <row r="25" customFormat="false" ht="15" hidden="false" customHeight="false" outlineLevel="0" collapsed="false">
      <c r="A25" s="8" t="s">
        <v>29</v>
      </c>
      <c r="B25" s="8"/>
      <c r="C25" s="8"/>
      <c r="D25" s="8"/>
    </row>
    <row r="26" customFormat="false" ht="15" hidden="false" customHeight="false" outlineLevel="0" collapsed="false">
      <c r="A26" s="8" t="s">
        <v>30</v>
      </c>
      <c r="B26" s="6" t="e">
        <f aca="false">googlefinance("GLD","price")</f>
        <v>#NAME?</v>
      </c>
      <c r="C26" s="10" t="s">
        <v>31</v>
      </c>
      <c r="D26" s="8"/>
    </row>
    <row r="27" customFormat="false" ht="15" hidden="false" customHeight="false" outlineLevel="0" collapsed="false">
      <c r="A27" s="8" t="s">
        <v>32</v>
      </c>
      <c r="B27" s="8"/>
      <c r="C27" s="8"/>
      <c r="D27" s="8"/>
    </row>
    <row r="28" customFormat="false" ht="15" hidden="false" customHeight="false" outlineLevel="0" collapsed="false">
      <c r="A28" s="8" t="s">
        <v>33</v>
      </c>
      <c r="B28" s="8"/>
      <c r="C28" s="8"/>
      <c r="D28" s="8"/>
    </row>
    <row r="29" customFormat="false" ht="15" hidden="false" customHeight="false" outlineLevel="0" collapsed="false">
      <c r="A29" s="8" t="s">
        <v>34</v>
      </c>
      <c r="B29" s="8"/>
      <c r="C29" s="8"/>
      <c r="D29" s="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11" min="7" style="0" width="14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8" min="15" style="0" width="12"/>
    <col collapsed="false" customWidth="true" hidden="false" outlineLevel="0" max="19" min="19" style="0" width="18"/>
    <col collapsed="false" customWidth="true" hidden="false" outlineLevel="0" max="20" min="20" style="0" width="35"/>
  </cols>
  <sheetData>
    <row r="1" customFormat="false" ht="23.85" hidden="false" customHeight="false" outlineLevel="0" collapsed="false">
      <c r="A1" s="4" t="s">
        <v>35</v>
      </c>
      <c r="B1" s="4" t="s">
        <v>36</v>
      </c>
      <c r="C1" s="4" t="s">
        <v>2</v>
      </c>
      <c r="D1" s="4" t="s">
        <v>12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13</v>
      </c>
      <c r="N1" s="4" t="s">
        <v>41</v>
      </c>
      <c r="O1" s="4" t="s">
        <v>42</v>
      </c>
      <c r="P1" s="4" t="s">
        <v>43</v>
      </c>
      <c r="Q1" s="4" t="s">
        <v>44</v>
      </c>
      <c r="R1" s="4" t="s">
        <v>45</v>
      </c>
      <c r="S1" s="4" t="s">
        <v>46</v>
      </c>
      <c r="T1" s="4" t="s">
        <v>47</v>
      </c>
    </row>
    <row r="2" customFormat="false" ht="15" hidden="false" customHeight="false" outlineLevel="0" collapsed="false">
      <c r="A2" s="8" t="s">
        <v>48</v>
      </c>
      <c r="B2" s="8" t="s">
        <v>49</v>
      </c>
      <c r="C2" s="11" t="s">
        <v>8</v>
      </c>
      <c r="D2" s="11" t="s">
        <v>15</v>
      </c>
      <c r="E2" s="11" t="s">
        <v>50</v>
      </c>
      <c r="F2" s="8" t="n">
        <v>25</v>
      </c>
      <c r="G2" s="6" t="n">
        <v>178.5</v>
      </c>
      <c r="H2" s="6" t="e">
        <f aca="false">googlefinance(A2,"price")</f>
        <v>#NAME?</v>
      </c>
      <c r="I2" s="6" t="e">
        <f aca="false">F2*H2</f>
        <v>#NAME?</v>
      </c>
      <c r="J2" s="6" t="n">
        <f aca="false">F2*G2</f>
        <v>4462.5</v>
      </c>
      <c r="K2" s="6" t="e">
        <f aca="false">I2-J2</f>
        <v>#NAME?</v>
      </c>
      <c r="L2" s="7" t="e">
        <f aca="false">IF(J2&lt;&gt;0,K2/J2,0)</f>
        <v>#NAME?</v>
      </c>
      <c r="M2" s="7" t="e">
        <f aca="false">IF(SUM($I$2:$I$200)&lt;&gt;0,I2/SUM($I$2:$I$200),0)</f>
        <v>#NAME?</v>
      </c>
      <c r="N2" s="7" t="n">
        <v>0.005</v>
      </c>
      <c r="O2" s="8"/>
      <c r="P2" s="11" t="s">
        <v>51</v>
      </c>
      <c r="Q2" s="6" t="n">
        <v>220</v>
      </c>
      <c r="R2" s="6" t="n">
        <v>165</v>
      </c>
      <c r="S2" s="8" t="s">
        <v>52</v>
      </c>
      <c r="T2" s="8" t="s">
        <v>53</v>
      </c>
    </row>
    <row r="3" customFormat="false" ht="15" hidden="false" customHeight="false" outlineLevel="0" collapsed="false">
      <c r="A3" s="8" t="s">
        <v>54</v>
      </c>
      <c r="B3" s="8" t="s">
        <v>55</v>
      </c>
      <c r="C3" s="11" t="s">
        <v>9</v>
      </c>
      <c r="D3" s="11" t="s">
        <v>14</v>
      </c>
      <c r="E3" s="11" t="s">
        <v>50</v>
      </c>
      <c r="F3" s="8" t="n">
        <v>50</v>
      </c>
      <c r="G3" s="6" t="n">
        <v>98.3</v>
      </c>
      <c r="H3" s="6" t="e">
        <f aca="false">googlefinance(A3,"price")</f>
        <v>#NAME?</v>
      </c>
      <c r="I3" s="6" t="e">
        <f aca="false">F3*H3</f>
        <v>#NAME?</v>
      </c>
      <c r="J3" s="6" t="n">
        <f aca="false">F3*G3</f>
        <v>4915</v>
      </c>
      <c r="K3" s="6" t="e">
        <f aca="false">I3-J3</f>
        <v>#NAME?</v>
      </c>
      <c r="L3" s="7" t="e">
        <f aca="false">IF(J3&lt;&gt;0,K3/J3,0)</f>
        <v>#NAME?</v>
      </c>
      <c r="M3" s="7" t="e">
        <f aca="false">IF(SUM($I$2:$I$200)&lt;&gt;0,I3/SUM($I$2:$I$200),0)</f>
        <v>#NAME?</v>
      </c>
      <c r="N3" s="7" t="n">
        <v>0.034</v>
      </c>
      <c r="O3" s="8"/>
      <c r="P3" s="11" t="s">
        <v>51</v>
      </c>
      <c r="Q3" s="6" t="n">
        <v>130</v>
      </c>
      <c r="R3" s="6" t="n">
        <v>90</v>
      </c>
      <c r="S3" s="8" t="s">
        <v>56</v>
      </c>
      <c r="T3" s="8" t="s">
        <v>57</v>
      </c>
    </row>
    <row r="4" customFormat="false" ht="15" hidden="false" customHeight="false" outlineLevel="0" collapsed="false">
      <c r="A4" s="8" t="s">
        <v>58</v>
      </c>
      <c r="B4" s="8" t="s">
        <v>59</v>
      </c>
      <c r="C4" s="11" t="s">
        <v>8</v>
      </c>
      <c r="D4" s="11" t="s">
        <v>16</v>
      </c>
      <c r="E4" s="11" t="s">
        <v>60</v>
      </c>
      <c r="F4" s="8" t="n">
        <v>40</v>
      </c>
      <c r="G4" s="6" t="n">
        <v>185</v>
      </c>
      <c r="H4" s="6" t="e">
        <f aca="false">googlefinance(A4,"price")</f>
        <v>#NAME?</v>
      </c>
      <c r="I4" s="6" t="e">
        <f aca="false">F4*H4</f>
        <v>#NAME?</v>
      </c>
      <c r="J4" s="6" t="n">
        <f aca="false">F4*G4</f>
        <v>7400</v>
      </c>
      <c r="K4" s="6" t="e">
        <f aca="false">I4-J4</f>
        <v>#NAME?</v>
      </c>
      <c r="L4" s="7" t="e">
        <f aca="false">IF(J4&lt;&gt;0,K4/J4,0)</f>
        <v>#NAME?</v>
      </c>
      <c r="M4" s="7" t="e">
        <f aca="false">IF(SUM($I$2:$I$200)&lt;&gt;0,I4/SUM($I$2:$I$200),0)</f>
        <v>#NAME?</v>
      </c>
      <c r="N4" s="12" t="n">
        <v>0</v>
      </c>
      <c r="O4" s="8"/>
      <c r="P4" s="11" t="s">
        <v>51</v>
      </c>
      <c r="Q4" s="6"/>
      <c r="R4" s="6"/>
      <c r="S4" s="8" t="s">
        <v>61</v>
      </c>
      <c r="T4" s="8" t="s">
        <v>62</v>
      </c>
    </row>
    <row r="5" customFormat="false" ht="15" hidden="false" customHeight="false" outlineLevel="0" collapsed="false">
      <c r="A5" s="8" t="s">
        <v>63</v>
      </c>
      <c r="B5" s="8" t="s">
        <v>64</v>
      </c>
      <c r="C5" s="11" t="s">
        <v>8</v>
      </c>
      <c r="D5" s="11" t="s">
        <v>15</v>
      </c>
      <c r="E5" s="11" t="s">
        <v>50</v>
      </c>
      <c r="F5" s="8" t="n">
        <v>100</v>
      </c>
      <c r="G5" s="6" t="n">
        <v>42.15</v>
      </c>
      <c r="H5" s="6" t="e">
        <f aca="false">googlefinance(A5,"price")</f>
        <v>#NAME?</v>
      </c>
      <c r="I5" s="6" t="e">
        <f aca="false">F5*H5</f>
        <v>#NAME?</v>
      </c>
      <c r="J5" s="6" t="n">
        <f aca="false">F5*G5</f>
        <v>4215</v>
      </c>
      <c r="K5" s="6" t="e">
        <f aca="false">I5-J5</f>
        <v>#NAME?</v>
      </c>
      <c r="L5" s="7" t="e">
        <f aca="false">IF(J5&lt;&gt;0,K5/J5,0)</f>
        <v>#NAME?</v>
      </c>
      <c r="M5" s="7" t="e">
        <f aca="false">IF(SUM($I$2:$I$200)&lt;&gt;0,I5/SUM($I$2:$I$200),0)</f>
        <v>#NAME?</v>
      </c>
      <c r="N5" s="7" t="n">
        <v>0.015</v>
      </c>
      <c r="O5" s="8"/>
      <c r="P5" s="11" t="s">
        <v>51</v>
      </c>
      <c r="Q5" s="6" t="n">
        <v>55</v>
      </c>
      <c r="R5" s="6" t="n">
        <v>30</v>
      </c>
      <c r="S5" s="8" t="s">
        <v>65</v>
      </c>
      <c r="T5" s="8" t="s">
        <v>66</v>
      </c>
    </row>
    <row r="6" customFormat="false" ht="15" hidden="false" customHeight="false" outlineLevel="0" collapsed="false">
      <c r="A6" s="8" t="s">
        <v>67</v>
      </c>
      <c r="B6" s="8" t="s">
        <v>68</v>
      </c>
      <c r="C6" s="11" t="s">
        <v>9</v>
      </c>
      <c r="D6" s="11" t="s">
        <v>16</v>
      </c>
      <c r="E6" s="11" t="s">
        <v>50</v>
      </c>
      <c r="F6" s="8" t="n">
        <v>30</v>
      </c>
      <c r="G6" s="6" t="n">
        <v>52.4</v>
      </c>
      <c r="H6" s="6" t="e">
        <f aca="false">googlefinance(A6,"price")</f>
        <v>#NAME?</v>
      </c>
      <c r="I6" s="6" t="e">
        <f aca="false">F6*H6</f>
        <v>#NAME?</v>
      </c>
      <c r="J6" s="6" t="n">
        <f aca="false">F6*G6</f>
        <v>1572</v>
      </c>
      <c r="K6" s="6" t="e">
        <f aca="false">I6-J6</f>
        <v>#NAME?</v>
      </c>
      <c r="L6" s="7" t="e">
        <f aca="false">IF(J6&lt;&gt;0,K6/J6,0)</f>
        <v>#NAME?</v>
      </c>
      <c r="M6" s="7" t="e">
        <f aca="false">IF(SUM($I$2:$I$200)&lt;&gt;0,I6/SUM($I$2:$I$200),0)</f>
        <v>#NAME?</v>
      </c>
      <c r="N6" s="7" t="n">
        <v>0.038</v>
      </c>
      <c r="O6" s="8"/>
      <c r="P6" s="11" t="s">
        <v>51</v>
      </c>
      <c r="Q6" s="6" t="n">
        <v>75</v>
      </c>
      <c r="R6" s="6"/>
      <c r="S6" s="8" t="s">
        <v>69</v>
      </c>
      <c r="T6" s="8" t="s">
        <v>70</v>
      </c>
    </row>
    <row r="7" customFormat="false" ht="15" hidden="false" customHeight="false" outlineLevel="0" collapsed="false">
      <c r="A7" s="8" t="s">
        <v>71</v>
      </c>
      <c r="B7" s="8" t="s">
        <v>72</v>
      </c>
      <c r="C7" s="11" t="s">
        <v>8</v>
      </c>
      <c r="D7" s="11" t="s">
        <v>14</v>
      </c>
      <c r="E7" s="11" t="s">
        <v>50</v>
      </c>
      <c r="F7" s="8" t="n">
        <v>400</v>
      </c>
      <c r="G7" s="6" t="n">
        <v>5.92</v>
      </c>
      <c r="H7" s="6" t="e">
        <f aca="false">googlefinance(A7,"price")</f>
        <v>#NAME?</v>
      </c>
      <c r="I7" s="6" t="e">
        <f aca="false">F7*H7</f>
        <v>#NAME?</v>
      </c>
      <c r="J7" s="6" t="n">
        <f aca="false">F7*G7</f>
        <v>2368</v>
      </c>
      <c r="K7" s="6" t="e">
        <f aca="false">I7-J7</f>
        <v>#NAME?</v>
      </c>
      <c r="L7" s="7" t="e">
        <f aca="false">IF(J7&lt;&gt;0,K7/J7,0)</f>
        <v>#NAME?</v>
      </c>
      <c r="M7" s="7" t="e">
        <f aca="false">IF(SUM($I$2:$I$200)&lt;&gt;0,I7/SUM($I$2:$I$200),0)</f>
        <v>#NAME?</v>
      </c>
      <c r="N7" s="7" t="n">
        <v>0.116</v>
      </c>
      <c r="O7" s="8"/>
      <c r="P7" s="11" t="s">
        <v>51</v>
      </c>
      <c r="Q7" s="6" t="n">
        <v>8</v>
      </c>
      <c r="R7" s="6" t="n">
        <v>5.5</v>
      </c>
      <c r="S7" s="8" t="s">
        <v>56</v>
      </c>
      <c r="T7" s="8" t="s">
        <v>73</v>
      </c>
    </row>
    <row r="8" customFormat="false" ht="15" hidden="false" customHeight="false" outlineLevel="0" collapsed="false">
      <c r="A8" s="8" t="s">
        <v>74</v>
      </c>
      <c r="B8" s="8" t="s">
        <v>75</v>
      </c>
      <c r="C8" s="11" t="s">
        <v>8</v>
      </c>
      <c r="D8" s="11" t="s">
        <v>16</v>
      </c>
      <c r="E8" s="11" t="s">
        <v>50</v>
      </c>
      <c r="F8" s="8" t="n">
        <v>10</v>
      </c>
      <c r="G8" s="6" t="n">
        <v>131.07</v>
      </c>
      <c r="H8" s="6" t="e">
        <f aca="false">googlefinance(A8,"price")</f>
        <v>#NAME?</v>
      </c>
      <c r="I8" s="6" t="e">
        <f aca="false">F8*H8</f>
        <v>#NAME?</v>
      </c>
      <c r="J8" s="6" t="n">
        <f aca="false">F8*G8</f>
        <v>1310.7</v>
      </c>
      <c r="K8" s="6" t="e">
        <f aca="false">I8-J8</f>
        <v>#NAME?</v>
      </c>
      <c r="L8" s="7" t="e">
        <f aca="false">IF(J8&lt;&gt;0,K8/J8,0)</f>
        <v>#NAME?</v>
      </c>
      <c r="M8" s="7" t="e">
        <f aca="false">IF(SUM($I$2:$I$200)&lt;&gt;0,I8/SUM($I$2:$I$200),0)</f>
        <v>#NAME?</v>
      </c>
      <c r="N8" s="7" t="n">
        <v>0.015</v>
      </c>
      <c r="O8" s="8"/>
      <c r="P8" s="11" t="s">
        <v>51</v>
      </c>
      <c r="Q8" s="6" t="n">
        <v>150</v>
      </c>
      <c r="R8" s="6" t="n">
        <v>124</v>
      </c>
      <c r="S8" s="8" t="s">
        <v>26</v>
      </c>
      <c r="T8" s="8" t="s">
        <v>76</v>
      </c>
    </row>
    <row r="9" customFormat="false" ht="15" hidden="false" customHeight="false" outlineLevel="0" collapsed="false">
      <c r="A9" s="8" t="s">
        <v>77</v>
      </c>
      <c r="B9" s="8" t="s">
        <v>78</v>
      </c>
      <c r="C9" s="11" t="s">
        <v>8</v>
      </c>
      <c r="D9" s="11" t="s">
        <v>18</v>
      </c>
      <c r="E9" s="11" t="s">
        <v>50</v>
      </c>
      <c r="F9" s="8" t="n">
        <v>195</v>
      </c>
      <c r="G9" s="6" t="n">
        <v>23.32</v>
      </c>
      <c r="H9" s="6" t="e">
        <f aca="false">googlefinance(A9,"price")</f>
        <v>#NAME?</v>
      </c>
      <c r="I9" s="6" t="e">
        <f aca="false">F9*H9</f>
        <v>#NAME?</v>
      </c>
      <c r="J9" s="6" t="n">
        <f aca="false">F9*G9</f>
        <v>4547.4</v>
      </c>
      <c r="K9" s="6" t="e">
        <f aca="false">I9-J9</f>
        <v>#NAME?</v>
      </c>
      <c r="L9" s="7" t="e">
        <f aca="false">IF(J9&lt;&gt;0,K9/J9,0)</f>
        <v>#NAME?</v>
      </c>
      <c r="M9" s="7" t="e">
        <f aca="false">IF(SUM($I$2:$I$200)&lt;&gt;0,I9/SUM($I$2:$I$200),0)</f>
        <v>#NAME?</v>
      </c>
      <c r="N9" s="7" t="n">
        <v>0.089</v>
      </c>
      <c r="O9" s="8"/>
      <c r="P9" s="11" t="s">
        <v>51</v>
      </c>
      <c r="Q9" s="6" t="n">
        <v>28</v>
      </c>
      <c r="R9" s="6" t="n">
        <v>22.51</v>
      </c>
      <c r="S9" s="8" t="s">
        <v>56</v>
      </c>
      <c r="T9" s="8" t="s">
        <v>79</v>
      </c>
    </row>
    <row r="10" customFormat="false" ht="15" hidden="false" customHeight="false" outlineLevel="0" collapsed="false">
      <c r="H10" s="0" t="str">
        <f aca="false">IF(A10&lt;&gt;"",googlefinance(A10,"price"),"")</f>
        <v/>
      </c>
      <c r="I10" s="0" t="str">
        <f aca="false">IF(F10&lt;&gt;"",F10*H10,"")</f>
        <v/>
      </c>
      <c r="J10" s="0" t="str">
        <f aca="false">IF(F10&lt;&gt;"",F10*G10,"")</f>
        <v/>
      </c>
      <c r="K10" s="0" t="str">
        <f aca="false">IF(J10&lt;&gt;"",I10-J10,"")</f>
        <v/>
      </c>
      <c r="L10" s="0" t="str">
        <f aca="false">IF(AND(J10&lt;&gt;"",J10&lt;&gt;0),K10/J10,"")</f>
        <v/>
      </c>
      <c r="M10" s="0" t="str">
        <f aca="false">IF(I10&lt;&gt;"",IF(SUM($I$2:$I$200)&lt;&gt;0,I10/SUM($I$2:$I$200),""),"")</f>
        <v/>
      </c>
    </row>
    <row r="11" customFormat="false" ht="15" hidden="false" customHeight="false" outlineLevel="0" collapsed="false">
      <c r="A11" s="13"/>
      <c r="H11" s="0" t="str">
        <f aca="false">IF(A11&lt;&gt;"",googlefinance(A11,"price"),"")</f>
        <v/>
      </c>
      <c r="I11" s="0" t="str">
        <f aca="false">IF(F11&lt;&gt;"",F11*H11,"")</f>
        <v/>
      </c>
      <c r="J11" s="0" t="str">
        <f aca="false">IF(F11&lt;&gt;"",F11*G11,"")</f>
        <v/>
      </c>
      <c r="K11" s="0" t="str">
        <f aca="false">IF(J11&lt;&gt;"",I11-J11,"")</f>
        <v/>
      </c>
      <c r="L11" s="0" t="str">
        <f aca="false">IF(AND(J11&lt;&gt;"",J11&lt;&gt;0),K11/J11,"")</f>
        <v/>
      </c>
      <c r="M11" s="0" t="str">
        <f aca="false">IF(I11&lt;&gt;"",IF(SUM($I$2:$I$200)&lt;&gt;0,I11/SUM($I$2:$I$200),""),"")</f>
        <v/>
      </c>
    </row>
    <row r="12" customFormat="false" ht="15" hidden="false" customHeight="false" outlineLevel="0" collapsed="false">
      <c r="H12" s="0" t="str">
        <f aca="false">IF(A12&lt;&gt;"",googlefinance(A12,"price"),"")</f>
        <v/>
      </c>
      <c r="I12" s="0" t="str">
        <f aca="false">IF(F12&lt;&gt;"",F12*H12,"")</f>
        <v/>
      </c>
      <c r="J12" s="0" t="str">
        <f aca="false">IF(F12&lt;&gt;"",F12*G12,"")</f>
        <v/>
      </c>
      <c r="K12" s="0" t="str">
        <f aca="false">IF(J12&lt;&gt;"",I12-J12,"")</f>
        <v/>
      </c>
      <c r="L12" s="0" t="str">
        <f aca="false">IF(AND(J12&lt;&gt;"",J12&lt;&gt;0),K12/J12,"")</f>
        <v/>
      </c>
      <c r="M12" s="0" t="str">
        <f aca="false">IF(I12&lt;&gt;"",IF(SUM($I$2:$I$200)&lt;&gt;0,I12/SUM($I$2:$I$200),""),"")</f>
        <v/>
      </c>
    </row>
    <row r="13" customFormat="false" ht="15" hidden="false" customHeight="false" outlineLevel="0" collapsed="false">
      <c r="H13" s="0" t="str">
        <f aca="false">IF(A13&lt;&gt;"",googlefinance(A13,"price"),"")</f>
        <v/>
      </c>
      <c r="I13" s="0" t="str">
        <f aca="false">IF(F13&lt;&gt;"",F13*H13,"")</f>
        <v/>
      </c>
      <c r="J13" s="0" t="str">
        <f aca="false">IF(F13&lt;&gt;"",F13*G13,"")</f>
        <v/>
      </c>
      <c r="K13" s="0" t="str">
        <f aca="false">IF(J13&lt;&gt;"",I13-J13,"")</f>
        <v/>
      </c>
      <c r="L13" s="0" t="str">
        <f aca="false">IF(AND(J13&lt;&gt;"",J13&lt;&gt;0),K13/J13,"")</f>
        <v/>
      </c>
      <c r="M13" s="0" t="str">
        <f aca="false">IF(I13&lt;&gt;"",IF(SUM($I$2:$I$200)&lt;&gt;0,I13/SUM($I$2:$I$200),""),"")</f>
        <v/>
      </c>
    </row>
    <row r="14" customFormat="false" ht="15" hidden="false" customHeight="false" outlineLevel="0" collapsed="false">
      <c r="H14" s="0" t="str">
        <f aca="false">IF(A14&lt;&gt;"",googlefinance(A14,"price"),"")</f>
        <v/>
      </c>
      <c r="I14" s="0" t="str">
        <f aca="false">IF(F14&lt;&gt;"",F14*H14,"")</f>
        <v/>
      </c>
      <c r="J14" s="0" t="str">
        <f aca="false">IF(F14&lt;&gt;"",F14*G14,"")</f>
        <v/>
      </c>
      <c r="K14" s="0" t="str">
        <f aca="false">IF(J14&lt;&gt;"",I14-J14,"")</f>
        <v/>
      </c>
      <c r="L14" s="0" t="str">
        <f aca="false">IF(AND(J14&lt;&gt;"",J14&lt;&gt;0),K14/J14,"")</f>
        <v/>
      </c>
      <c r="M14" s="0" t="str">
        <f aca="false">IF(I14&lt;&gt;"",IF(SUM($I$2:$I$200)&lt;&gt;0,I14/SUM($I$2:$I$200),""),"")</f>
        <v/>
      </c>
    </row>
    <row r="15" customFormat="false" ht="15" hidden="false" customHeight="false" outlineLevel="0" collapsed="false">
      <c r="H15" s="0" t="str">
        <f aca="false">IF(A15&lt;&gt;"",googlefinance(A15,"price"),"")</f>
        <v/>
      </c>
      <c r="I15" s="0" t="str">
        <f aca="false">IF(F15&lt;&gt;"",F15*H15,"")</f>
        <v/>
      </c>
      <c r="J15" s="0" t="str">
        <f aca="false">IF(F15&lt;&gt;"",F15*G15,"")</f>
        <v/>
      </c>
      <c r="K15" s="0" t="str">
        <f aca="false">IF(J15&lt;&gt;"",I15-J15,"")</f>
        <v/>
      </c>
      <c r="L15" s="0" t="str">
        <f aca="false">IF(AND(J15&lt;&gt;"",J15&lt;&gt;0),K15/J15,"")</f>
        <v/>
      </c>
      <c r="M15" s="0" t="str">
        <f aca="false">IF(I15&lt;&gt;"",IF(SUM($I$2:$I$200)&lt;&gt;0,I15/SUM($I$2:$I$200),""),"")</f>
        <v/>
      </c>
    </row>
    <row r="16" customFormat="false" ht="15" hidden="false" customHeight="false" outlineLevel="0" collapsed="false">
      <c r="H16" s="0" t="str">
        <f aca="false">IF(A16&lt;&gt;"",googlefinance(A16,"price"),"")</f>
        <v/>
      </c>
      <c r="I16" s="0" t="str">
        <f aca="false">IF(F16&lt;&gt;"",F16*H16,"")</f>
        <v/>
      </c>
      <c r="J16" s="0" t="str">
        <f aca="false">IF(F16&lt;&gt;"",F16*G16,"")</f>
        <v/>
      </c>
      <c r="K16" s="0" t="str">
        <f aca="false">IF(J16&lt;&gt;"",I16-J16,"")</f>
        <v/>
      </c>
      <c r="L16" s="0" t="str">
        <f aca="false">IF(AND(J16&lt;&gt;"",J16&lt;&gt;0),K16/J16,"")</f>
        <v/>
      </c>
      <c r="M16" s="0" t="str">
        <f aca="false">IF(I16&lt;&gt;"",IF(SUM($I$2:$I$200)&lt;&gt;0,I16/SUM($I$2:$I$200),""),"")</f>
        <v/>
      </c>
    </row>
    <row r="17" customFormat="false" ht="15" hidden="false" customHeight="false" outlineLevel="0" collapsed="false">
      <c r="H17" s="0" t="str">
        <f aca="false">IF(A17&lt;&gt;"",googlefinance(A17,"price"),"")</f>
        <v/>
      </c>
      <c r="I17" s="0" t="str">
        <f aca="false">IF(F17&lt;&gt;"",F17*H17,"")</f>
        <v/>
      </c>
      <c r="J17" s="0" t="str">
        <f aca="false">IF(F17&lt;&gt;"",F17*G17,"")</f>
        <v/>
      </c>
      <c r="K17" s="0" t="str">
        <f aca="false">IF(J17&lt;&gt;"",I17-J17,"")</f>
        <v/>
      </c>
      <c r="L17" s="0" t="str">
        <f aca="false">IF(AND(J17&lt;&gt;"",J17&lt;&gt;0),K17/J17,"")</f>
        <v/>
      </c>
      <c r="M17" s="0" t="str">
        <f aca="false">IF(I17&lt;&gt;"",IF(SUM($I$2:$I$200)&lt;&gt;0,I17/SUM($I$2:$I$200),""),"")</f>
        <v/>
      </c>
    </row>
    <row r="18" customFormat="false" ht="15" hidden="false" customHeight="false" outlineLevel="0" collapsed="false">
      <c r="H18" s="0" t="str">
        <f aca="false">IF(A18&lt;&gt;"",googlefinance(A18,"price"),"")</f>
        <v/>
      </c>
      <c r="I18" s="0" t="str">
        <f aca="false">IF(F18&lt;&gt;"",F18*H18,"")</f>
        <v/>
      </c>
      <c r="J18" s="0" t="str">
        <f aca="false">IF(F18&lt;&gt;"",F18*G18,"")</f>
        <v/>
      </c>
      <c r="K18" s="0" t="str">
        <f aca="false">IF(J18&lt;&gt;"",I18-J18,"")</f>
        <v/>
      </c>
      <c r="L18" s="0" t="str">
        <f aca="false">IF(AND(J18&lt;&gt;"",J18&lt;&gt;0),K18/J18,"")</f>
        <v/>
      </c>
      <c r="M18" s="0" t="str">
        <f aca="false">IF(I18&lt;&gt;"",IF(SUM($I$2:$I$200)&lt;&gt;0,I18/SUM($I$2:$I$200),""),"")</f>
        <v/>
      </c>
    </row>
    <row r="19" customFormat="false" ht="15" hidden="false" customHeight="false" outlineLevel="0" collapsed="false">
      <c r="H19" s="0" t="str">
        <f aca="false">IF(A19&lt;&gt;"",googlefinance(A19,"price"),"")</f>
        <v/>
      </c>
      <c r="I19" s="0" t="str">
        <f aca="false">IF(F19&lt;&gt;"",F19*H19,"")</f>
        <v/>
      </c>
      <c r="J19" s="0" t="str">
        <f aca="false">IF(F19&lt;&gt;"",F19*G19,"")</f>
        <v/>
      </c>
      <c r="K19" s="0" t="str">
        <f aca="false">IF(J19&lt;&gt;"",I19-J19,"")</f>
        <v/>
      </c>
      <c r="L19" s="0" t="str">
        <f aca="false">IF(AND(J19&lt;&gt;"",J19&lt;&gt;0),K19/J19,"")</f>
        <v/>
      </c>
      <c r="M19" s="0" t="str">
        <f aca="false">IF(I19&lt;&gt;"",IF(SUM($I$2:$I$200)&lt;&gt;0,I19/SUM($I$2:$I$200),""),"")</f>
        <v/>
      </c>
    </row>
    <row r="20" customFormat="false" ht="15" hidden="false" customHeight="false" outlineLevel="0" collapsed="false">
      <c r="H20" s="0" t="str">
        <f aca="false">IF(A20&lt;&gt;"",googlefinance(A20,"price"),"")</f>
        <v/>
      </c>
      <c r="I20" s="0" t="str">
        <f aca="false">IF(F20&lt;&gt;"",F20*H20,"")</f>
        <v/>
      </c>
      <c r="J20" s="0" t="str">
        <f aca="false">IF(F20&lt;&gt;"",F20*G20,"")</f>
        <v/>
      </c>
      <c r="K20" s="0" t="str">
        <f aca="false">IF(J20&lt;&gt;"",I20-J20,"")</f>
        <v/>
      </c>
      <c r="L20" s="0" t="str">
        <f aca="false">IF(AND(J20&lt;&gt;"",J20&lt;&gt;0),K20/J20,"")</f>
        <v/>
      </c>
      <c r="M20" s="0" t="str">
        <f aca="false">IF(I20&lt;&gt;"",IF(SUM($I$2:$I$200)&lt;&gt;0,I20/SUM($I$2:$I$200),""),"")</f>
        <v/>
      </c>
    </row>
    <row r="21" customFormat="false" ht="15" hidden="false" customHeight="false" outlineLevel="0" collapsed="false">
      <c r="H21" s="0" t="str">
        <f aca="false">IF(A21&lt;&gt;"",googlefinance(A21,"price"),"")</f>
        <v/>
      </c>
      <c r="I21" s="0" t="str">
        <f aca="false">IF(F21&lt;&gt;"",F21*H21,"")</f>
        <v/>
      </c>
      <c r="J21" s="0" t="str">
        <f aca="false">IF(F21&lt;&gt;"",F21*G21,"")</f>
        <v/>
      </c>
      <c r="K21" s="0" t="str">
        <f aca="false">IF(J21&lt;&gt;"",I21-J21,"")</f>
        <v/>
      </c>
      <c r="L21" s="0" t="str">
        <f aca="false">IF(AND(J21&lt;&gt;"",J21&lt;&gt;0),K21/J21,"")</f>
        <v/>
      </c>
      <c r="M21" s="0" t="str">
        <f aca="false">IF(I21&lt;&gt;"",IF(SUM($I$2:$I$200)&lt;&gt;0,I21/SUM($I$2:$I$200),""),"")</f>
        <v/>
      </c>
    </row>
    <row r="22" customFormat="false" ht="15" hidden="false" customHeight="false" outlineLevel="0" collapsed="false">
      <c r="H22" s="0" t="str">
        <f aca="false">IF(A22&lt;&gt;"",googlefinance(A22,"price"),"")</f>
        <v/>
      </c>
      <c r="I22" s="0" t="str">
        <f aca="false">IF(F22&lt;&gt;"",F22*H22,"")</f>
        <v/>
      </c>
      <c r="J22" s="0" t="str">
        <f aca="false">IF(F22&lt;&gt;"",F22*G22,"")</f>
        <v/>
      </c>
      <c r="K22" s="0" t="str">
        <f aca="false">IF(J22&lt;&gt;"",I22-J22,"")</f>
        <v/>
      </c>
      <c r="L22" s="0" t="str">
        <f aca="false">IF(AND(J22&lt;&gt;"",J22&lt;&gt;0),K22/J22,"")</f>
        <v/>
      </c>
      <c r="M22" s="0" t="str">
        <f aca="false">IF(I22&lt;&gt;"",IF(SUM($I$2:$I$200)&lt;&gt;0,I22/SUM($I$2:$I$200),""),"")</f>
        <v/>
      </c>
    </row>
    <row r="23" customFormat="false" ht="15" hidden="false" customHeight="false" outlineLevel="0" collapsed="false">
      <c r="H23" s="0" t="str">
        <f aca="false">IF(A23&lt;&gt;"",googlefinance(A23,"price"),"")</f>
        <v/>
      </c>
      <c r="I23" s="0" t="str">
        <f aca="false">IF(F23&lt;&gt;"",F23*H23,"")</f>
        <v/>
      </c>
      <c r="J23" s="0" t="str">
        <f aca="false">IF(F23&lt;&gt;"",F23*G23,"")</f>
        <v/>
      </c>
      <c r="K23" s="0" t="str">
        <f aca="false">IF(J23&lt;&gt;"",I23-J23,"")</f>
        <v/>
      </c>
      <c r="L23" s="0" t="str">
        <f aca="false">IF(AND(J23&lt;&gt;"",J23&lt;&gt;0),K23/J23,"")</f>
        <v/>
      </c>
      <c r="M23" s="0" t="str">
        <f aca="false">IF(I23&lt;&gt;"",IF(SUM($I$2:$I$200)&lt;&gt;0,I23/SUM($I$2:$I$200),""),"")</f>
        <v/>
      </c>
    </row>
    <row r="24" customFormat="false" ht="15" hidden="false" customHeight="false" outlineLevel="0" collapsed="false">
      <c r="H24" s="0" t="str">
        <f aca="false">IF(A24&lt;&gt;"",googlefinance(A24,"price"),"")</f>
        <v/>
      </c>
      <c r="I24" s="0" t="str">
        <f aca="false">IF(F24&lt;&gt;"",F24*H24,"")</f>
        <v/>
      </c>
      <c r="J24" s="0" t="str">
        <f aca="false">IF(F24&lt;&gt;"",F24*G24,"")</f>
        <v/>
      </c>
      <c r="K24" s="0" t="str">
        <f aca="false">IF(J24&lt;&gt;"",I24-J24,"")</f>
        <v/>
      </c>
      <c r="L24" s="0" t="str">
        <f aca="false">IF(AND(J24&lt;&gt;"",J24&lt;&gt;0),K24/J24,"")</f>
        <v/>
      </c>
      <c r="M24" s="0" t="str">
        <f aca="false">IF(I24&lt;&gt;"",IF(SUM($I$2:$I$200)&lt;&gt;0,I24/SUM($I$2:$I$200),""),"")</f>
        <v/>
      </c>
    </row>
    <row r="25" customFormat="false" ht="15" hidden="false" customHeight="false" outlineLevel="0" collapsed="false">
      <c r="H25" s="0" t="str">
        <f aca="false">IF(A25&lt;&gt;"",googlefinance(A25,"price"),"")</f>
        <v/>
      </c>
      <c r="I25" s="0" t="str">
        <f aca="false">IF(F25&lt;&gt;"",F25*H25,"")</f>
        <v/>
      </c>
      <c r="J25" s="0" t="str">
        <f aca="false">IF(F25&lt;&gt;"",F25*G25,"")</f>
        <v/>
      </c>
      <c r="K25" s="0" t="str">
        <f aca="false">IF(J25&lt;&gt;"",I25-J25,"")</f>
        <v/>
      </c>
      <c r="L25" s="0" t="str">
        <f aca="false">IF(AND(J25&lt;&gt;"",J25&lt;&gt;0),K25/J25,"")</f>
        <v/>
      </c>
      <c r="M25" s="0" t="str">
        <f aca="false">IF(I25&lt;&gt;"",IF(SUM($I$2:$I$200)&lt;&gt;0,I25/SUM($I$2:$I$200),""),"")</f>
        <v/>
      </c>
    </row>
    <row r="26" customFormat="false" ht="15" hidden="false" customHeight="false" outlineLevel="0" collapsed="false">
      <c r="H26" s="0" t="str">
        <f aca="false">IF(A26&lt;&gt;"",googlefinance(A26,"price"),"")</f>
        <v/>
      </c>
      <c r="I26" s="0" t="str">
        <f aca="false">IF(F26&lt;&gt;"",F26*H26,"")</f>
        <v/>
      </c>
      <c r="J26" s="0" t="str">
        <f aca="false">IF(F26&lt;&gt;"",F26*G26,"")</f>
        <v/>
      </c>
      <c r="K26" s="0" t="str">
        <f aca="false">IF(J26&lt;&gt;"",I26-J26,"")</f>
        <v/>
      </c>
      <c r="L26" s="0" t="str">
        <f aca="false">IF(AND(J26&lt;&gt;"",J26&lt;&gt;0),K26/J26,"")</f>
        <v/>
      </c>
      <c r="M26" s="0" t="str">
        <f aca="false">IF(I26&lt;&gt;"",IF(SUM($I$2:$I$200)&lt;&gt;0,I26/SUM($I$2:$I$200),""),"")</f>
        <v/>
      </c>
    </row>
    <row r="27" customFormat="false" ht="15" hidden="false" customHeight="false" outlineLevel="0" collapsed="false">
      <c r="H27" s="0" t="str">
        <f aca="false">IF(A27&lt;&gt;"",googlefinance(A27,"price"),"")</f>
        <v/>
      </c>
      <c r="I27" s="0" t="str">
        <f aca="false">IF(F27&lt;&gt;"",F27*H27,"")</f>
        <v/>
      </c>
      <c r="J27" s="0" t="str">
        <f aca="false">IF(F27&lt;&gt;"",F27*G27,"")</f>
        <v/>
      </c>
      <c r="K27" s="0" t="str">
        <f aca="false">IF(J27&lt;&gt;"",I27-J27,"")</f>
        <v/>
      </c>
      <c r="L27" s="0" t="str">
        <f aca="false">IF(AND(J27&lt;&gt;"",J27&lt;&gt;0),K27/J27,"")</f>
        <v/>
      </c>
      <c r="M27" s="0" t="str">
        <f aca="false">IF(I27&lt;&gt;"",IF(SUM($I$2:$I$200)&lt;&gt;0,I27/SUM($I$2:$I$200),""),"")</f>
        <v/>
      </c>
    </row>
    <row r="28" customFormat="false" ht="15" hidden="false" customHeight="false" outlineLevel="0" collapsed="false">
      <c r="H28" s="0" t="str">
        <f aca="false">IF(A28&lt;&gt;"",googlefinance(A28,"price"),"")</f>
        <v/>
      </c>
      <c r="I28" s="0" t="str">
        <f aca="false">IF(F28&lt;&gt;"",F28*H28,"")</f>
        <v/>
      </c>
      <c r="J28" s="0" t="str">
        <f aca="false">IF(F28&lt;&gt;"",F28*G28,"")</f>
        <v/>
      </c>
      <c r="K28" s="0" t="str">
        <f aca="false">IF(J28&lt;&gt;"",I28-J28,"")</f>
        <v/>
      </c>
      <c r="L28" s="0" t="str">
        <f aca="false">IF(AND(J28&lt;&gt;"",J28&lt;&gt;0),K28/J28,"")</f>
        <v/>
      </c>
      <c r="M28" s="0" t="str">
        <f aca="false">IF(I28&lt;&gt;"",IF(SUM($I$2:$I$200)&lt;&gt;0,I28/SUM($I$2:$I$200),""),"")</f>
        <v/>
      </c>
    </row>
    <row r="29" customFormat="false" ht="15" hidden="false" customHeight="false" outlineLevel="0" collapsed="false">
      <c r="H29" s="0" t="str">
        <f aca="false">IF(A29&lt;&gt;"",googlefinance(A29,"price"),"")</f>
        <v/>
      </c>
      <c r="I29" s="0" t="str">
        <f aca="false">IF(F29&lt;&gt;"",F29*H29,"")</f>
        <v/>
      </c>
      <c r="J29" s="0" t="str">
        <f aca="false">IF(F29&lt;&gt;"",F29*G29,"")</f>
        <v/>
      </c>
      <c r="K29" s="0" t="str">
        <f aca="false">IF(J29&lt;&gt;"",I29-J29,"")</f>
        <v/>
      </c>
      <c r="L29" s="0" t="str">
        <f aca="false">IF(AND(J29&lt;&gt;"",J29&lt;&gt;0),K29/J29,"")</f>
        <v/>
      </c>
      <c r="M29" s="0" t="str">
        <f aca="false">IF(I29&lt;&gt;"",IF(SUM($I$2:$I$200)&lt;&gt;0,I29/SUM($I$2:$I$200),""),"")</f>
        <v/>
      </c>
    </row>
    <row r="30" customFormat="false" ht="15" hidden="false" customHeight="false" outlineLevel="0" collapsed="false">
      <c r="H30" s="0" t="str">
        <f aca="false">IF(A30&lt;&gt;"",googlefinance(A30,"price"),"")</f>
        <v/>
      </c>
      <c r="I30" s="0" t="str">
        <f aca="false">IF(F30&lt;&gt;"",F30*H30,"")</f>
        <v/>
      </c>
      <c r="J30" s="0" t="str">
        <f aca="false">IF(F30&lt;&gt;"",F30*G30,"")</f>
        <v/>
      </c>
      <c r="K30" s="0" t="str">
        <f aca="false">IF(J30&lt;&gt;"",I30-J30,"")</f>
        <v/>
      </c>
      <c r="L30" s="0" t="str">
        <f aca="false">IF(AND(J30&lt;&gt;"",J30&lt;&gt;0),K30/J30,"")</f>
        <v/>
      </c>
      <c r="M30" s="0" t="str">
        <f aca="false">IF(I30&lt;&gt;"",IF(SUM($I$2:$I$200)&lt;&gt;0,I30/SUM($I$2:$I$200),""),"")</f>
        <v/>
      </c>
    </row>
    <row r="31" customFormat="false" ht="15" hidden="false" customHeight="false" outlineLevel="0" collapsed="false">
      <c r="H31" s="0" t="str">
        <f aca="false">IF(A31&lt;&gt;"",googlefinance(A31,"price"),"")</f>
        <v/>
      </c>
      <c r="I31" s="0" t="str">
        <f aca="false">IF(F31&lt;&gt;"",F31*H31,"")</f>
        <v/>
      </c>
      <c r="J31" s="0" t="str">
        <f aca="false">IF(F31&lt;&gt;"",F31*G31,"")</f>
        <v/>
      </c>
      <c r="K31" s="0" t="str">
        <f aca="false">IF(J31&lt;&gt;"",I31-J31,"")</f>
        <v/>
      </c>
      <c r="L31" s="0" t="str">
        <f aca="false">IF(AND(J31&lt;&gt;"",J31&lt;&gt;0),K31/J31,"")</f>
        <v/>
      </c>
      <c r="M31" s="0" t="str">
        <f aca="false">IF(I31&lt;&gt;"",IF(SUM($I$2:$I$200)&lt;&gt;0,I31/SUM($I$2:$I$200),""),"")</f>
        <v/>
      </c>
    </row>
    <row r="32" customFormat="false" ht="15" hidden="false" customHeight="false" outlineLevel="0" collapsed="false">
      <c r="H32" s="0" t="str">
        <f aca="false">IF(A32&lt;&gt;"",googlefinance(A32,"price"),"")</f>
        <v/>
      </c>
      <c r="I32" s="0" t="str">
        <f aca="false">IF(F32&lt;&gt;"",F32*H32,"")</f>
        <v/>
      </c>
      <c r="J32" s="0" t="str">
        <f aca="false">IF(F32&lt;&gt;"",F32*G32,"")</f>
        <v/>
      </c>
      <c r="K32" s="0" t="str">
        <f aca="false">IF(J32&lt;&gt;"",I32-J32,"")</f>
        <v/>
      </c>
      <c r="L32" s="0" t="str">
        <f aca="false">IF(AND(J32&lt;&gt;"",J32&lt;&gt;0),K32/J32,"")</f>
        <v/>
      </c>
      <c r="M32" s="0" t="str">
        <f aca="false">IF(I32&lt;&gt;"",IF(SUM($I$2:$I$200)&lt;&gt;0,I32/SUM($I$2:$I$200),""),"")</f>
        <v/>
      </c>
    </row>
    <row r="33" customFormat="false" ht="15" hidden="false" customHeight="false" outlineLevel="0" collapsed="false">
      <c r="H33" s="0" t="str">
        <f aca="false">IF(A33&lt;&gt;"",googlefinance(A33,"price"),"")</f>
        <v/>
      </c>
      <c r="I33" s="0" t="str">
        <f aca="false">IF(F33&lt;&gt;"",F33*H33,"")</f>
        <v/>
      </c>
      <c r="J33" s="0" t="str">
        <f aca="false">IF(F33&lt;&gt;"",F33*G33,"")</f>
        <v/>
      </c>
      <c r="K33" s="0" t="str">
        <f aca="false">IF(J33&lt;&gt;"",I33-J33,"")</f>
        <v/>
      </c>
      <c r="L33" s="0" t="str">
        <f aca="false">IF(AND(J33&lt;&gt;"",J33&lt;&gt;0),K33/J33,"")</f>
        <v/>
      </c>
      <c r="M33" s="0" t="str">
        <f aca="false">IF(I33&lt;&gt;"",IF(SUM($I$2:$I$200)&lt;&gt;0,I33/SUM($I$2:$I$200),""),"")</f>
        <v/>
      </c>
    </row>
    <row r="34" customFormat="false" ht="15" hidden="false" customHeight="false" outlineLevel="0" collapsed="false">
      <c r="H34" s="0" t="str">
        <f aca="false">IF(A34&lt;&gt;"",googlefinance(A34,"price"),"")</f>
        <v/>
      </c>
      <c r="I34" s="0" t="str">
        <f aca="false">IF(F34&lt;&gt;"",F34*H34,"")</f>
        <v/>
      </c>
      <c r="J34" s="0" t="str">
        <f aca="false">IF(F34&lt;&gt;"",F34*G34,"")</f>
        <v/>
      </c>
      <c r="K34" s="0" t="str">
        <f aca="false">IF(J34&lt;&gt;"",I34-J34,"")</f>
        <v/>
      </c>
      <c r="L34" s="0" t="str">
        <f aca="false">IF(AND(J34&lt;&gt;"",J34&lt;&gt;0),K34/J34,"")</f>
        <v/>
      </c>
      <c r="M34" s="0" t="str">
        <f aca="false">IF(I34&lt;&gt;"",IF(SUM($I$2:$I$200)&lt;&gt;0,I34/SUM($I$2:$I$200),""),"")</f>
        <v/>
      </c>
    </row>
    <row r="35" customFormat="false" ht="15" hidden="false" customHeight="false" outlineLevel="0" collapsed="false">
      <c r="H35" s="0" t="str">
        <f aca="false">IF(A35&lt;&gt;"",googlefinance(A35,"price"),"")</f>
        <v/>
      </c>
      <c r="I35" s="0" t="str">
        <f aca="false">IF(F35&lt;&gt;"",F35*H35,"")</f>
        <v/>
      </c>
      <c r="J35" s="0" t="str">
        <f aca="false">IF(F35&lt;&gt;"",F35*G35,"")</f>
        <v/>
      </c>
      <c r="K35" s="0" t="str">
        <f aca="false">IF(J35&lt;&gt;"",I35-J35,"")</f>
        <v/>
      </c>
      <c r="L35" s="0" t="str">
        <f aca="false">IF(AND(J35&lt;&gt;"",J35&lt;&gt;0),K35/J35,"")</f>
        <v/>
      </c>
      <c r="M35" s="0" t="str">
        <f aca="false">IF(I35&lt;&gt;"",IF(SUM($I$2:$I$200)&lt;&gt;0,I35/SUM($I$2:$I$200),""),"")</f>
        <v/>
      </c>
    </row>
    <row r="36" customFormat="false" ht="15" hidden="false" customHeight="false" outlineLevel="0" collapsed="false">
      <c r="H36" s="0" t="str">
        <f aca="false">IF(A36&lt;&gt;"",googlefinance(A36,"price"),"")</f>
        <v/>
      </c>
      <c r="I36" s="0" t="str">
        <f aca="false">IF(F36&lt;&gt;"",F36*H36,"")</f>
        <v/>
      </c>
      <c r="J36" s="0" t="str">
        <f aca="false">IF(F36&lt;&gt;"",F36*G36,"")</f>
        <v/>
      </c>
      <c r="K36" s="0" t="str">
        <f aca="false">IF(J36&lt;&gt;"",I36-J36,"")</f>
        <v/>
      </c>
      <c r="L36" s="0" t="str">
        <f aca="false">IF(AND(J36&lt;&gt;"",J36&lt;&gt;0),K36/J36,"")</f>
        <v/>
      </c>
      <c r="M36" s="0" t="str">
        <f aca="false">IF(I36&lt;&gt;"",IF(SUM($I$2:$I$200)&lt;&gt;0,I36/SUM($I$2:$I$200),""),"")</f>
        <v/>
      </c>
    </row>
    <row r="37" customFormat="false" ht="15" hidden="false" customHeight="false" outlineLevel="0" collapsed="false">
      <c r="H37" s="0" t="str">
        <f aca="false">IF(A37&lt;&gt;"",googlefinance(A37,"price"),"")</f>
        <v/>
      </c>
      <c r="I37" s="0" t="str">
        <f aca="false">IF(F37&lt;&gt;"",F37*H37,"")</f>
        <v/>
      </c>
      <c r="J37" s="0" t="str">
        <f aca="false">IF(F37&lt;&gt;"",F37*G37,"")</f>
        <v/>
      </c>
      <c r="K37" s="0" t="str">
        <f aca="false">IF(J37&lt;&gt;"",I37-J37,"")</f>
        <v/>
      </c>
      <c r="L37" s="0" t="str">
        <f aca="false">IF(AND(J37&lt;&gt;"",J37&lt;&gt;0),K37/J37,"")</f>
        <v/>
      </c>
      <c r="M37" s="0" t="str">
        <f aca="false">IF(I37&lt;&gt;"",IF(SUM($I$2:$I$200)&lt;&gt;0,I37/SUM($I$2:$I$200),""),"")</f>
        <v/>
      </c>
    </row>
    <row r="38" customFormat="false" ht="15" hidden="false" customHeight="false" outlineLevel="0" collapsed="false">
      <c r="H38" s="0" t="str">
        <f aca="false">IF(A38&lt;&gt;"",googlefinance(A38,"price"),"")</f>
        <v/>
      </c>
      <c r="I38" s="0" t="str">
        <f aca="false">IF(F38&lt;&gt;"",F38*H38,"")</f>
        <v/>
      </c>
      <c r="J38" s="0" t="str">
        <f aca="false">IF(F38&lt;&gt;"",F38*G38,"")</f>
        <v/>
      </c>
      <c r="K38" s="0" t="str">
        <f aca="false">IF(J38&lt;&gt;"",I38-J38,"")</f>
        <v/>
      </c>
      <c r="L38" s="0" t="str">
        <f aca="false">IF(AND(J38&lt;&gt;"",J38&lt;&gt;0),K38/J38,"")</f>
        <v/>
      </c>
      <c r="M38" s="0" t="str">
        <f aca="false">IF(I38&lt;&gt;"",IF(SUM($I$2:$I$200)&lt;&gt;0,I38/SUM($I$2:$I$200),""),"")</f>
        <v/>
      </c>
    </row>
    <row r="39" customFormat="false" ht="15" hidden="false" customHeight="false" outlineLevel="0" collapsed="false">
      <c r="H39" s="0" t="str">
        <f aca="false">IF(A39&lt;&gt;"",googlefinance(A39,"price"),"")</f>
        <v/>
      </c>
      <c r="I39" s="0" t="str">
        <f aca="false">IF(F39&lt;&gt;"",F39*H39,"")</f>
        <v/>
      </c>
      <c r="J39" s="0" t="str">
        <f aca="false">IF(F39&lt;&gt;"",F39*G39,"")</f>
        <v/>
      </c>
      <c r="K39" s="0" t="str">
        <f aca="false">IF(J39&lt;&gt;"",I39-J39,"")</f>
        <v/>
      </c>
      <c r="L39" s="0" t="str">
        <f aca="false">IF(AND(J39&lt;&gt;"",J39&lt;&gt;0),K39/J39,"")</f>
        <v/>
      </c>
      <c r="M39" s="0" t="str">
        <f aca="false">IF(I39&lt;&gt;"",IF(SUM($I$2:$I$200)&lt;&gt;0,I39/SUM($I$2:$I$200),""),"")</f>
        <v/>
      </c>
    </row>
    <row r="40" customFormat="false" ht="15" hidden="false" customHeight="false" outlineLevel="0" collapsed="false">
      <c r="H40" s="0" t="str">
        <f aca="false">IF(A40&lt;&gt;"",googlefinance(A40,"price"),"")</f>
        <v/>
      </c>
      <c r="I40" s="0" t="str">
        <f aca="false">IF(F40&lt;&gt;"",F40*H40,"")</f>
        <v/>
      </c>
      <c r="J40" s="0" t="str">
        <f aca="false">IF(F40&lt;&gt;"",F40*G40,"")</f>
        <v/>
      </c>
      <c r="K40" s="0" t="str">
        <f aca="false">IF(J40&lt;&gt;"",I40-J40,"")</f>
        <v/>
      </c>
      <c r="L40" s="0" t="str">
        <f aca="false">IF(AND(J40&lt;&gt;"",J40&lt;&gt;0),K40/J40,"")</f>
        <v/>
      </c>
      <c r="M40" s="0" t="str">
        <f aca="false">IF(I40&lt;&gt;"",IF(SUM($I$2:$I$200)&lt;&gt;0,I40/SUM($I$2:$I$200),""),"")</f>
        <v/>
      </c>
    </row>
    <row r="41" customFormat="false" ht="15" hidden="false" customHeight="false" outlineLevel="0" collapsed="false">
      <c r="H41" s="0" t="str">
        <f aca="false">IF(A41&lt;&gt;"",googlefinance(A41,"price"),"")</f>
        <v/>
      </c>
      <c r="I41" s="0" t="str">
        <f aca="false">IF(F41&lt;&gt;"",F41*H41,"")</f>
        <v/>
      </c>
      <c r="J41" s="0" t="str">
        <f aca="false">IF(F41&lt;&gt;"",F41*G41,"")</f>
        <v/>
      </c>
      <c r="K41" s="0" t="str">
        <f aca="false">IF(J41&lt;&gt;"",I41-J41,"")</f>
        <v/>
      </c>
      <c r="L41" s="0" t="str">
        <f aca="false">IF(AND(J41&lt;&gt;"",J41&lt;&gt;0),K41/J41,"")</f>
        <v/>
      </c>
      <c r="M41" s="0" t="str">
        <f aca="false">IF(I41&lt;&gt;"",IF(SUM($I$2:$I$200)&lt;&gt;0,I41/SUM($I$2:$I$200),""),"")</f>
        <v/>
      </c>
    </row>
    <row r="42" customFormat="false" ht="15" hidden="false" customHeight="false" outlineLevel="0" collapsed="false">
      <c r="H42" s="0" t="str">
        <f aca="false">IF(A42&lt;&gt;"",googlefinance(A42,"price"),"")</f>
        <v/>
      </c>
      <c r="I42" s="0" t="str">
        <f aca="false">IF(F42&lt;&gt;"",F42*H42,"")</f>
        <v/>
      </c>
      <c r="J42" s="0" t="str">
        <f aca="false">IF(F42&lt;&gt;"",F42*G42,"")</f>
        <v/>
      </c>
      <c r="K42" s="0" t="str">
        <f aca="false">IF(J42&lt;&gt;"",I42-J42,"")</f>
        <v/>
      </c>
      <c r="L42" s="0" t="str">
        <f aca="false">IF(AND(J42&lt;&gt;"",J42&lt;&gt;0),K42/J42,"")</f>
        <v/>
      </c>
      <c r="M42" s="0" t="str">
        <f aca="false">IF(I42&lt;&gt;"",IF(SUM($I$2:$I$200)&lt;&gt;0,I42/SUM($I$2:$I$200),""),"")</f>
        <v/>
      </c>
    </row>
    <row r="43" customFormat="false" ht="15" hidden="false" customHeight="false" outlineLevel="0" collapsed="false">
      <c r="H43" s="0" t="str">
        <f aca="false">IF(A43&lt;&gt;"",googlefinance(A43,"price"),"")</f>
        <v/>
      </c>
      <c r="I43" s="0" t="str">
        <f aca="false">IF(F43&lt;&gt;"",F43*H43,"")</f>
        <v/>
      </c>
      <c r="J43" s="0" t="str">
        <f aca="false">IF(F43&lt;&gt;"",F43*G43,"")</f>
        <v/>
      </c>
      <c r="K43" s="0" t="str">
        <f aca="false">IF(J43&lt;&gt;"",I43-J43,"")</f>
        <v/>
      </c>
      <c r="L43" s="0" t="str">
        <f aca="false">IF(AND(J43&lt;&gt;"",J43&lt;&gt;0),K43/J43,"")</f>
        <v/>
      </c>
      <c r="M43" s="0" t="str">
        <f aca="false">IF(I43&lt;&gt;"",IF(SUM($I$2:$I$200)&lt;&gt;0,I43/SUM($I$2:$I$200),""),"")</f>
        <v/>
      </c>
    </row>
    <row r="44" customFormat="false" ht="15" hidden="false" customHeight="false" outlineLevel="0" collapsed="false">
      <c r="H44" s="0" t="str">
        <f aca="false">IF(A44&lt;&gt;"",googlefinance(A44,"price"),"")</f>
        <v/>
      </c>
      <c r="I44" s="0" t="str">
        <f aca="false">IF(F44&lt;&gt;"",F44*H44,"")</f>
        <v/>
      </c>
      <c r="J44" s="0" t="str">
        <f aca="false">IF(F44&lt;&gt;"",F44*G44,"")</f>
        <v/>
      </c>
      <c r="K44" s="0" t="str">
        <f aca="false">IF(J44&lt;&gt;"",I44-J44,"")</f>
        <v/>
      </c>
      <c r="L44" s="0" t="str">
        <f aca="false">IF(AND(J44&lt;&gt;"",J44&lt;&gt;0),K44/J44,"")</f>
        <v/>
      </c>
      <c r="M44" s="0" t="str">
        <f aca="false">IF(I44&lt;&gt;"",IF(SUM($I$2:$I$200)&lt;&gt;0,I44/SUM($I$2:$I$200),""),"")</f>
        <v/>
      </c>
    </row>
    <row r="45" customFormat="false" ht="15" hidden="false" customHeight="false" outlineLevel="0" collapsed="false">
      <c r="H45" s="0" t="str">
        <f aca="false">IF(A45&lt;&gt;"",googlefinance(A45,"price"),"")</f>
        <v/>
      </c>
      <c r="I45" s="0" t="str">
        <f aca="false">IF(F45&lt;&gt;"",F45*H45,"")</f>
        <v/>
      </c>
      <c r="J45" s="0" t="str">
        <f aca="false">IF(F45&lt;&gt;"",F45*G45,"")</f>
        <v/>
      </c>
      <c r="K45" s="0" t="str">
        <f aca="false">IF(J45&lt;&gt;"",I45-J45,"")</f>
        <v/>
      </c>
      <c r="L45" s="0" t="str">
        <f aca="false">IF(AND(J45&lt;&gt;"",J45&lt;&gt;0),K45/J45,"")</f>
        <v/>
      </c>
      <c r="M45" s="0" t="str">
        <f aca="false">IF(I45&lt;&gt;"",IF(SUM($I$2:$I$200)&lt;&gt;0,I45/SUM($I$2:$I$200),""),"")</f>
        <v/>
      </c>
    </row>
    <row r="46" customFormat="false" ht="15" hidden="false" customHeight="false" outlineLevel="0" collapsed="false">
      <c r="H46" s="0" t="str">
        <f aca="false">IF(A46&lt;&gt;"",googlefinance(A46,"price"),"")</f>
        <v/>
      </c>
      <c r="I46" s="0" t="str">
        <f aca="false">IF(F46&lt;&gt;"",F46*H46,"")</f>
        <v/>
      </c>
      <c r="J46" s="0" t="str">
        <f aca="false">IF(F46&lt;&gt;"",F46*G46,"")</f>
        <v/>
      </c>
      <c r="K46" s="0" t="str">
        <f aca="false">IF(J46&lt;&gt;"",I46-J46,"")</f>
        <v/>
      </c>
      <c r="L46" s="0" t="str">
        <f aca="false">IF(AND(J46&lt;&gt;"",J46&lt;&gt;0),K46/J46,"")</f>
        <v/>
      </c>
      <c r="M46" s="0" t="str">
        <f aca="false">IF(I46&lt;&gt;"",IF(SUM($I$2:$I$200)&lt;&gt;0,I46/SUM($I$2:$I$200),""),"")</f>
        <v/>
      </c>
    </row>
    <row r="47" customFormat="false" ht="15" hidden="false" customHeight="false" outlineLevel="0" collapsed="false">
      <c r="H47" s="0" t="str">
        <f aca="false">IF(A47&lt;&gt;"",googlefinance(A47,"price"),"")</f>
        <v/>
      </c>
      <c r="I47" s="0" t="str">
        <f aca="false">IF(F47&lt;&gt;"",F47*H47,"")</f>
        <v/>
      </c>
      <c r="J47" s="0" t="str">
        <f aca="false">IF(F47&lt;&gt;"",F47*G47,"")</f>
        <v/>
      </c>
      <c r="K47" s="0" t="str">
        <f aca="false">IF(J47&lt;&gt;"",I47-J47,"")</f>
        <v/>
      </c>
      <c r="L47" s="0" t="str">
        <f aca="false">IF(AND(J47&lt;&gt;"",J47&lt;&gt;0),K47/J47,"")</f>
        <v/>
      </c>
      <c r="M47" s="0" t="str">
        <f aca="false">IF(I47&lt;&gt;"",IF(SUM($I$2:$I$200)&lt;&gt;0,I47/SUM($I$2:$I$200),""),"")</f>
        <v/>
      </c>
    </row>
    <row r="48" customFormat="false" ht="15" hidden="false" customHeight="false" outlineLevel="0" collapsed="false">
      <c r="H48" s="0" t="str">
        <f aca="false">IF(A48&lt;&gt;"",googlefinance(A48,"price"),"")</f>
        <v/>
      </c>
      <c r="I48" s="0" t="str">
        <f aca="false">IF(F48&lt;&gt;"",F48*H48,"")</f>
        <v/>
      </c>
      <c r="J48" s="0" t="str">
        <f aca="false">IF(F48&lt;&gt;"",F48*G48,"")</f>
        <v/>
      </c>
      <c r="K48" s="0" t="str">
        <f aca="false">IF(J48&lt;&gt;"",I48-J48,"")</f>
        <v/>
      </c>
      <c r="L48" s="0" t="str">
        <f aca="false">IF(AND(J48&lt;&gt;"",J48&lt;&gt;0),K48/J48,"")</f>
        <v/>
      </c>
      <c r="M48" s="0" t="str">
        <f aca="false">IF(I48&lt;&gt;"",IF(SUM($I$2:$I$200)&lt;&gt;0,I48/SUM($I$2:$I$200),""),"")</f>
        <v/>
      </c>
    </row>
    <row r="49" customFormat="false" ht="15" hidden="false" customHeight="false" outlineLevel="0" collapsed="false">
      <c r="H49" s="0" t="str">
        <f aca="false">IF(A49&lt;&gt;"",googlefinance(A49,"price"),"")</f>
        <v/>
      </c>
      <c r="I49" s="0" t="str">
        <f aca="false">IF(F49&lt;&gt;"",F49*H49,"")</f>
        <v/>
      </c>
      <c r="J49" s="0" t="str">
        <f aca="false">IF(F49&lt;&gt;"",F49*G49,"")</f>
        <v/>
      </c>
      <c r="K49" s="0" t="str">
        <f aca="false">IF(J49&lt;&gt;"",I49-J49,"")</f>
        <v/>
      </c>
      <c r="L49" s="0" t="str">
        <f aca="false">IF(AND(J49&lt;&gt;"",J49&lt;&gt;0),K49/J49,"")</f>
        <v/>
      </c>
      <c r="M49" s="0" t="str">
        <f aca="false">IF(I49&lt;&gt;"",IF(SUM($I$2:$I$200)&lt;&gt;0,I49/SUM($I$2:$I$200),""),"")</f>
        <v/>
      </c>
    </row>
    <row r="50" customFormat="false" ht="15" hidden="false" customHeight="false" outlineLevel="0" collapsed="false">
      <c r="H50" s="0" t="str">
        <f aca="false">IF(A50&lt;&gt;"",googlefinance(A50,"price"),"")</f>
        <v/>
      </c>
      <c r="I50" s="0" t="str">
        <f aca="false">IF(F50&lt;&gt;"",F50*H50,"")</f>
        <v/>
      </c>
      <c r="J50" s="0" t="str">
        <f aca="false">IF(F50&lt;&gt;"",F50*G50,"")</f>
        <v/>
      </c>
      <c r="K50" s="0" t="str">
        <f aca="false">IF(J50&lt;&gt;"",I50-J50,"")</f>
        <v/>
      </c>
      <c r="L50" s="0" t="str">
        <f aca="false">IF(AND(J50&lt;&gt;"",J50&lt;&gt;0),K50/J50,"")</f>
        <v/>
      </c>
      <c r="M50" s="0" t="str">
        <f aca="false">IF(I50&lt;&gt;"",IF(SUM($I$2:$I$200)&lt;&gt;0,I50/SUM($I$2:$I$200),""),"")</f>
        <v/>
      </c>
    </row>
    <row r="51" customFormat="false" ht="15" hidden="false" customHeight="false" outlineLevel="0" collapsed="false">
      <c r="H51" s="0" t="str">
        <f aca="false">IF(A51&lt;&gt;"",googlefinance(A51,"price"),"")</f>
        <v/>
      </c>
      <c r="I51" s="0" t="str">
        <f aca="false">IF(F51&lt;&gt;"",F51*H51,"")</f>
        <v/>
      </c>
      <c r="J51" s="0" t="str">
        <f aca="false">IF(F51&lt;&gt;"",F51*G51,"")</f>
        <v/>
      </c>
      <c r="K51" s="0" t="str">
        <f aca="false">IF(J51&lt;&gt;"",I51-J51,"")</f>
        <v/>
      </c>
      <c r="L51" s="0" t="str">
        <f aca="false">IF(AND(J51&lt;&gt;"",J51&lt;&gt;0),K51/J51,"")</f>
        <v/>
      </c>
      <c r="M51" s="0" t="str">
        <f aca="false">IF(I51&lt;&gt;"",IF(SUM($I$2:$I$200)&lt;&gt;0,I51/SUM($I$2:$I$200),""),"")</f>
        <v/>
      </c>
    </row>
    <row r="52" customFormat="false" ht="15" hidden="false" customHeight="false" outlineLevel="0" collapsed="false">
      <c r="H52" s="0" t="str">
        <f aca="false">IF(A52&lt;&gt;"",googlefinance(A52,"price"),"")</f>
        <v/>
      </c>
      <c r="I52" s="0" t="str">
        <f aca="false">IF(F52&lt;&gt;"",F52*H52,"")</f>
        <v/>
      </c>
      <c r="J52" s="0" t="str">
        <f aca="false">IF(F52&lt;&gt;"",F52*G52,"")</f>
        <v/>
      </c>
      <c r="K52" s="0" t="str">
        <f aca="false">IF(J52&lt;&gt;"",I52-J52,"")</f>
        <v/>
      </c>
      <c r="L52" s="0" t="str">
        <f aca="false">IF(AND(J52&lt;&gt;"",J52&lt;&gt;0),K52/J52,"")</f>
        <v/>
      </c>
      <c r="M52" s="0" t="str">
        <f aca="false">IF(I52&lt;&gt;"",IF(SUM($I$2:$I$200)&lt;&gt;0,I52/SUM($I$2:$I$200),""),"")</f>
        <v/>
      </c>
    </row>
    <row r="53" customFormat="false" ht="15" hidden="false" customHeight="false" outlineLevel="0" collapsed="false">
      <c r="H53" s="0" t="str">
        <f aca="false">IF(A53&lt;&gt;"",googlefinance(A53,"price"),"")</f>
        <v/>
      </c>
      <c r="I53" s="0" t="str">
        <f aca="false">IF(F53&lt;&gt;"",F53*H53,"")</f>
        <v/>
      </c>
      <c r="J53" s="0" t="str">
        <f aca="false">IF(F53&lt;&gt;"",F53*G53,"")</f>
        <v/>
      </c>
      <c r="K53" s="0" t="str">
        <f aca="false">IF(J53&lt;&gt;"",I53-J53,"")</f>
        <v/>
      </c>
      <c r="L53" s="0" t="str">
        <f aca="false">IF(AND(J53&lt;&gt;"",J53&lt;&gt;0),K53/J53,"")</f>
        <v/>
      </c>
      <c r="M53" s="0" t="str">
        <f aca="false">IF(I53&lt;&gt;"",IF(SUM($I$2:$I$200)&lt;&gt;0,I53/SUM($I$2:$I$200),""),"")</f>
        <v/>
      </c>
    </row>
    <row r="54" customFormat="false" ht="15" hidden="false" customHeight="false" outlineLevel="0" collapsed="false">
      <c r="H54" s="0" t="str">
        <f aca="false">IF(A54&lt;&gt;"",googlefinance(A54,"price"),"")</f>
        <v/>
      </c>
      <c r="I54" s="0" t="str">
        <f aca="false">IF(F54&lt;&gt;"",F54*H54,"")</f>
        <v/>
      </c>
      <c r="J54" s="0" t="str">
        <f aca="false">IF(F54&lt;&gt;"",F54*G54,"")</f>
        <v/>
      </c>
      <c r="K54" s="0" t="str">
        <f aca="false">IF(J54&lt;&gt;"",I54-J54,"")</f>
        <v/>
      </c>
      <c r="L54" s="0" t="str">
        <f aca="false">IF(AND(J54&lt;&gt;"",J54&lt;&gt;0),K54/J54,"")</f>
        <v/>
      </c>
      <c r="M54" s="0" t="str">
        <f aca="false">IF(I54&lt;&gt;"",IF(SUM($I$2:$I$200)&lt;&gt;0,I54/SUM($I$2:$I$200),""),"")</f>
        <v/>
      </c>
    </row>
    <row r="55" customFormat="false" ht="15" hidden="false" customHeight="false" outlineLevel="0" collapsed="false">
      <c r="H55" s="0" t="str">
        <f aca="false">IF(A55&lt;&gt;"",googlefinance(A55,"price"),"")</f>
        <v/>
      </c>
      <c r="I55" s="0" t="str">
        <f aca="false">IF(F55&lt;&gt;"",F55*H55,"")</f>
        <v/>
      </c>
      <c r="J55" s="0" t="str">
        <f aca="false">IF(F55&lt;&gt;"",F55*G55,"")</f>
        <v/>
      </c>
      <c r="K55" s="0" t="str">
        <f aca="false">IF(J55&lt;&gt;"",I55-J55,"")</f>
        <v/>
      </c>
      <c r="L55" s="0" t="str">
        <f aca="false">IF(AND(J55&lt;&gt;"",J55&lt;&gt;0),K55/J55,"")</f>
        <v/>
      </c>
      <c r="M55" s="0" t="str">
        <f aca="false">IF(I55&lt;&gt;"",IF(SUM($I$2:$I$200)&lt;&gt;0,I55/SUM($I$2:$I$200),""),"")</f>
        <v/>
      </c>
    </row>
    <row r="56" customFormat="false" ht="15" hidden="false" customHeight="false" outlineLevel="0" collapsed="false">
      <c r="H56" s="0" t="str">
        <f aca="false">IF(A56&lt;&gt;"",googlefinance(A56,"price"),"")</f>
        <v/>
      </c>
      <c r="I56" s="0" t="str">
        <f aca="false">IF(F56&lt;&gt;"",F56*H56,"")</f>
        <v/>
      </c>
      <c r="J56" s="0" t="str">
        <f aca="false">IF(F56&lt;&gt;"",F56*G56,"")</f>
        <v/>
      </c>
      <c r="K56" s="0" t="str">
        <f aca="false">IF(J56&lt;&gt;"",I56-J56,"")</f>
        <v/>
      </c>
      <c r="L56" s="0" t="str">
        <f aca="false">IF(AND(J56&lt;&gt;"",J56&lt;&gt;0),K56/J56,"")</f>
        <v/>
      </c>
      <c r="M56" s="0" t="str">
        <f aca="false">IF(I56&lt;&gt;"",IF(SUM($I$2:$I$200)&lt;&gt;0,I56/SUM($I$2:$I$200),""),"")</f>
        <v/>
      </c>
    </row>
    <row r="57" customFormat="false" ht="15" hidden="false" customHeight="false" outlineLevel="0" collapsed="false">
      <c r="H57" s="0" t="str">
        <f aca="false">IF(A57&lt;&gt;"",googlefinance(A57,"price"),"")</f>
        <v/>
      </c>
      <c r="I57" s="0" t="str">
        <f aca="false">IF(F57&lt;&gt;"",F57*H57,"")</f>
        <v/>
      </c>
      <c r="J57" s="0" t="str">
        <f aca="false">IF(F57&lt;&gt;"",F57*G57,"")</f>
        <v/>
      </c>
      <c r="K57" s="0" t="str">
        <f aca="false">IF(J57&lt;&gt;"",I57-J57,"")</f>
        <v/>
      </c>
      <c r="L57" s="0" t="str">
        <f aca="false">IF(AND(J57&lt;&gt;"",J57&lt;&gt;0),K57/J57,"")</f>
        <v/>
      </c>
      <c r="M57" s="0" t="str">
        <f aca="false">IF(I57&lt;&gt;"",IF(SUM($I$2:$I$200)&lt;&gt;0,I57/SUM($I$2:$I$200),""),"")</f>
        <v/>
      </c>
    </row>
    <row r="58" customFormat="false" ht="15" hidden="false" customHeight="false" outlineLevel="0" collapsed="false">
      <c r="H58" s="0" t="str">
        <f aca="false">IF(A58&lt;&gt;"",googlefinance(A58,"price"),"")</f>
        <v/>
      </c>
      <c r="I58" s="0" t="str">
        <f aca="false">IF(F58&lt;&gt;"",F58*H58,"")</f>
        <v/>
      </c>
      <c r="J58" s="0" t="str">
        <f aca="false">IF(F58&lt;&gt;"",F58*G58,"")</f>
        <v/>
      </c>
      <c r="K58" s="0" t="str">
        <f aca="false">IF(J58&lt;&gt;"",I58-J58,"")</f>
        <v/>
      </c>
      <c r="L58" s="0" t="str">
        <f aca="false">IF(AND(J58&lt;&gt;"",J58&lt;&gt;0),K58/J58,"")</f>
        <v/>
      </c>
      <c r="M58" s="0" t="str">
        <f aca="false">IF(I58&lt;&gt;"",IF(SUM($I$2:$I$200)&lt;&gt;0,I58/SUM($I$2:$I$200),""),"")</f>
        <v/>
      </c>
    </row>
    <row r="59" customFormat="false" ht="15" hidden="false" customHeight="false" outlineLevel="0" collapsed="false">
      <c r="H59" s="0" t="str">
        <f aca="false">IF(A59&lt;&gt;"",googlefinance(A59,"price"),"")</f>
        <v/>
      </c>
      <c r="I59" s="0" t="str">
        <f aca="false">IF(F59&lt;&gt;"",F59*H59,"")</f>
        <v/>
      </c>
      <c r="J59" s="0" t="str">
        <f aca="false">IF(F59&lt;&gt;"",F59*G59,"")</f>
        <v/>
      </c>
      <c r="K59" s="0" t="str">
        <f aca="false">IF(J59&lt;&gt;"",I59-J59,"")</f>
        <v/>
      </c>
      <c r="L59" s="0" t="str">
        <f aca="false">IF(AND(J59&lt;&gt;"",J59&lt;&gt;0),K59/J59,"")</f>
        <v/>
      </c>
      <c r="M59" s="0" t="str">
        <f aca="false">IF(I59&lt;&gt;"",IF(SUM($I$2:$I$200)&lt;&gt;0,I59/SUM($I$2:$I$200),""),"")</f>
        <v/>
      </c>
    </row>
    <row r="60" customFormat="false" ht="15" hidden="false" customHeight="false" outlineLevel="0" collapsed="false">
      <c r="H60" s="0" t="str">
        <f aca="false">IF(A60&lt;&gt;"",googlefinance(A60,"price"),"")</f>
        <v/>
      </c>
      <c r="I60" s="0" t="str">
        <f aca="false">IF(F60&lt;&gt;"",F60*H60,"")</f>
        <v/>
      </c>
      <c r="J60" s="0" t="str">
        <f aca="false">IF(F60&lt;&gt;"",F60*G60,"")</f>
        <v/>
      </c>
      <c r="K60" s="0" t="str">
        <f aca="false">IF(J60&lt;&gt;"",I60-J60,"")</f>
        <v/>
      </c>
      <c r="L60" s="0" t="str">
        <f aca="false">IF(AND(J60&lt;&gt;"",J60&lt;&gt;0),K60/J60,"")</f>
        <v/>
      </c>
      <c r="M60" s="0" t="str">
        <f aca="false">IF(I60&lt;&gt;"",IF(SUM($I$2:$I$200)&lt;&gt;0,I60/SUM($I$2:$I$200),""),"")</f>
        <v/>
      </c>
    </row>
    <row r="61" customFormat="false" ht="15" hidden="false" customHeight="false" outlineLevel="0" collapsed="false">
      <c r="H61" s="0" t="str">
        <f aca="false">IF(A61&lt;&gt;"",googlefinance(A61,"price"),"")</f>
        <v/>
      </c>
      <c r="I61" s="0" t="str">
        <f aca="false">IF(F61&lt;&gt;"",F61*H61,"")</f>
        <v/>
      </c>
      <c r="J61" s="0" t="str">
        <f aca="false">IF(F61&lt;&gt;"",F61*G61,"")</f>
        <v/>
      </c>
      <c r="K61" s="0" t="str">
        <f aca="false">IF(J61&lt;&gt;"",I61-J61,"")</f>
        <v/>
      </c>
      <c r="L61" s="0" t="str">
        <f aca="false">IF(AND(J61&lt;&gt;"",J61&lt;&gt;0),K61/J61,"")</f>
        <v/>
      </c>
      <c r="M61" s="0" t="str">
        <f aca="false">IF(I61&lt;&gt;"",IF(SUM($I$2:$I$200)&lt;&gt;0,I61/SUM($I$2:$I$200),""),"")</f>
        <v/>
      </c>
    </row>
    <row r="62" customFormat="false" ht="15" hidden="false" customHeight="false" outlineLevel="0" collapsed="false">
      <c r="H62" s="0" t="str">
        <f aca="false">IF(A62&lt;&gt;"",googlefinance(A62,"price"),"")</f>
        <v/>
      </c>
      <c r="I62" s="0" t="str">
        <f aca="false">IF(F62&lt;&gt;"",F62*H62,"")</f>
        <v/>
      </c>
      <c r="J62" s="0" t="str">
        <f aca="false">IF(F62&lt;&gt;"",F62*G62,"")</f>
        <v/>
      </c>
      <c r="K62" s="0" t="str">
        <f aca="false">IF(J62&lt;&gt;"",I62-J62,"")</f>
        <v/>
      </c>
      <c r="L62" s="0" t="str">
        <f aca="false">IF(AND(J62&lt;&gt;"",J62&lt;&gt;0),K62/J62,"")</f>
        <v/>
      </c>
      <c r="M62" s="0" t="str">
        <f aca="false">IF(I62&lt;&gt;"",IF(SUM($I$2:$I$200)&lt;&gt;0,I62/SUM($I$2:$I$200),""),"")</f>
        <v/>
      </c>
    </row>
    <row r="63" customFormat="false" ht="15" hidden="false" customHeight="false" outlineLevel="0" collapsed="false">
      <c r="H63" s="0" t="str">
        <f aca="false">IF(A63&lt;&gt;"",googlefinance(A63,"price"),"")</f>
        <v/>
      </c>
      <c r="I63" s="0" t="str">
        <f aca="false">IF(F63&lt;&gt;"",F63*H63,"")</f>
        <v/>
      </c>
      <c r="J63" s="0" t="str">
        <f aca="false">IF(F63&lt;&gt;"",F63*G63,"")</f>
        <v/>
      </c>
      <c r="K63" s="0" t="str">
        <f aca="false">IF(J63&lt;&gt;"",I63-J63,"")</f>
        <v/>
      </c>
      <c r="L63" s="0" t="str">
        <f aca="false">IF(AND(J63&lt;&gt;"",J63&lt;&gt;0),K63/J63,"")</f>
        <v/>
      </c>
      <c r="M63" s="0" t="str">
        <f aca="false">IF(I63&lt;&gt;"",IF(SUM($I$2:$I$200)&lt;&gt;0,I63/SUM($I$2:$I$200),""),"")</f>
        <v/>
      </c>
    </row>
    <row r="64" customFormat="false" ht="15" hidden="false" customHeight="false" outlineLevel="0" collapsed="false">
      <c r="H64" s="0" t="str">
        <f aca="false">IF(A64&lt;&gt;"",googlefinance(A64,"price"),"")</f>
        <v/>
      </c>
      <c r="I64" s="0" t="str">
        <f aca="false">IF(F64&lt;&gt;"",F64*H64,"")</f>
        <v/>
      </c>
      <c r="J64" s="0" t="str">
        <f aca="false">IF(F64&lt;&gt;"",F64*G64,"")</f>
        <v/>
      </c>
      <c r="K64" s="0" t="str">
        <f aca="false">IF(J64&lt;&gt;"",I64-J64,"")</f>
        <v/>
      </c>
      <c r="L64" s="0" t="str">
        <f aca="false">IF(AND(J64&lt;&gt;"",J64&lt;&gt;0),K64/J64,"")</f>
        <v/>
      </c>
      <c r="M64" s="0" t="str">
        <f aca="false">IF(I64&lt;&gt;"",IF(SUM($I$2:$I$200)&lt;&gt;0,I64/SUM($I$2:$I$200),""),"")</f>
        <v/>
      </c>
    </row>
    <row r="65" customFormat="false" ht="15" hidden="false" customHeight="false" outlineLevel="0" collapsed="false">
      <c r="H65" s="0" t="str">
        <f aca="false">IF(A65&lt;&gt;"",googlefinance(A65,"price"),"")</f>
        <v/>
      </c>
      <c r="I65" s="0" t="str">
        <f aca="false">IF(F65&lt;&gt;"",F65*H65,"")</f>
        <v/>
      </c>
      <c r="J65" s="0" t="str">
        <f aca="false">IF(F65&lt;&gt;"",F65*G65,"")</f>
        <v/>
      </c>
      <c r="K65" s="0" t="str">
        <f aca="false">IF(J65&lt;&gt;"",I65-J65,"")</f>
        <v/>
      </c>
      <c r="L65" s="0" t="str">
        <f aca="false">IF(AND(J65&lt;&gt;"",J65&lt;&gt;0),K65/J65,"")</f>
        <v/>
      </c>
      <c r="M65" s="0" t="str">
        <f aca="false">IF(I65&lt;&gt;"",IF(SUM($I$2:$I$200)&lt;&gt;0,I65/SUM($I$2:$I$200),""),"")</f>
        <v/>
      </c>
    </row>
    <row r="66" customFormat="false" ht="15" hidden="false" customHeight="false" outlineLevel="0" collapsed="false">
      <c r="H66" s="0" t="str">
        <f aca="false">IF(A66&lt;&gt;"",googlefinance(A66,"price"),"")</f>
        <v/>
      </c>
      <c r="I66" s="0" t="str">
        <f aca="false">IF(F66&lt;&gt;"",F66*H66,"")</f>
        <v/>
      </c>
      <c r="J66" s="0" t="str">
        <f aca="false">IF(F66&lt;&gt;"",F66*G66,"")</f>
        <v/>
      </c>
      <c r="K66" s="0" t="str">
        <f aca="false">IF(J66&lt;&gt;"",I66-J66,"")</f>
        <v/>
      </c>
      <c r="L66" s="0" t="str">
        <f aca="false">IF(AND(J66&lt;&gt;"",J66&lt;&gt;0),K66/J66,"")</f>
        <v/>
      </c>
      <c r="M66" s="0" t="str">
        <f aca="false">IF(I66&lt;&gt;"",IF(SUM($I$2:$I$200)&lt;&gt;0,I66/SUM($I$2:$I$200),""),"")</f>
        <v/>
      </c>
    </row>
    <row r="67" customFormat="false" ht="15" hidden="false" customHeight="false" outlineLevel="0" collapsed="false">
      <c r="H67" s="0" t="str">
        <f aca="false">IF(A67&lt;&gt;"",googlefinance(A67,"price"),"")</f>
        <v/>
      </c>
      <c r="I67" s="0" t="str">
        <f aca="false">IF(F67&lt;&gt;"",F67*H67,"")</f>
        <v/>
      </c>
      <c r="J67" s="0" t="str">
        <f aca="false">IF(F67&lt;&gt;"",F67*G67,"")</f>
        <v/>
      </c>
      <c r="K67" s="0" t="str">
        <f aca="false">IF(J67&lt;&gt;"",I67-J67,"")</f>
        <v/>
      </c>
      <c r="L67" s="0" t="str">
        <f aca="false">IF(AND(J67&lt;&gt;"",J67&lt;&gt;0),K67/J67,"")</f>
        <v/>
      </c>
      <c r="M67" s="0" t="str">
        <f aca="false">IF(I67&lt;&gt;"",IF(SUM($I$2:$I$200)&lt;&gt;0,I67/SUM($I$2:$I$200),""),"")</f>
        <v/>
      </c>
    </row>
    <row r="68" customFormat="false" ht="15" hidden="false" customHeight="false" outlineLevel="0" collapsed="false">
      <c r="H68" s="0" t="str">
        <f aca="false">IF(A68&lt;&gt;"",googlefinance(A68,"price"),"")</f>
        <v/>
      </c>
      <c r="I68" s="0" t="str">
        <f aca="false">IF(F68&lt;&gt;"",F68*H68,"")</f>
        <v/>
      </c>
      <c r="J68" s="0" t="str">
        <f aca="false">IF(F68&lt;&gt;"",F68*G68,"")</f>
        <v/>
      </c>
      <c r="K68" s="0" t="str">
        <f aca="false">IF(J68&lt;&gt;"",I68-J68,"")</f>
        <v/>
      </c>
      <c r="L68" s="0" t="str">
        <f aca="false">IF(AND(J68&lt;&gt;"",J68&lt;&gt;0),K68/J68,"")</f>
        <v/>
      </c>
      <c r="M68" s="0" t="str">
        <f aca="false">IF(I68&lt;&gt;"",IF(SUM($I$2:$I$200)&lt;&gt;0,I68/SUM($I$2:$I$200),""),"")</f>
        <v/>
      </c>
    </row>
    <row r="69" customFormat="false" ht="15" hidden="false" customHeight="false" outlineLevel="0" collapsed="false">
      <c r="H69" s="0" t="str">
        <f aca="false">IF(A69&lt;&gt;"",googlefinance(A69,"price"),"")</f>
        <v/>
      </c>
      <c r="I69" s="0" t="str">
        <f aca="false">IF(F69&lt;&gt;"",F69*H69,"")</f>
        <v/>
      </c>
      <c r="J69" s="0" t="str">
        <f aca="false">IF(F69&lt;&gt;"",F69*G69,"")</f>
        <v/>
      </c>
      <c r="K69" s="0" t="str">
        <f aca="false">IF(J69&lt;&gt;"",I69-J69,"")</f>
        <v/>
      </c>
      <c r="L69" s="0" t="str">
        <f aca="false">IF(AND(J69&lt;&gt;"",J69&lt;&gt;0),K69/J69,"")</f>
        <v/>
      </c>
      <c r="M69" s="0" t="str">
        <f aca="false">IF(I69&lt;&gt;"",IF(SUM($I$2:$I$200)&lt;&gt;0,I69/SUM($I$2:$I$200),""),"")</f>
        <v/>
      </c>
    </row>
    <row r="70" customFormat="false" ht="15" hidden="false" customHeight="false" outlineLevel="0" collapsed="false">
      <c r="H70" s="0" t="str">
        <f aca="false">IF(A70&lt;&gt;"",googlefinance(A70,"price"),"")</f>
        <v/>
      </c>
      <c r="I70" s="0" t="str">
        <f aca="false">IF(F70&lt;&gt;"",F70*H70,"")</f>
        <v/>
      </c>
      <c r="J70" s="0" t="str">
        <f aca="false">IF(F70&lt;&gt;"",F70*G70,"")</f>
        <v/>
      </c>
      <c r="K70" s="0" t="str">
        <f aca="false">IF(J70&lt;&gt;"",I70-J70,"")</f>
        <v/>
      </c>
      <c r="L70" s="0" t="str">
        <f aca="false">IF(AND(J70&lt;&gt;"",J70&lt;&gt;0),K70/J70,"")</f>
        <v/>
      </c>
      <c r="M70" s="0" t="str">
        <f aca="false">IF(I70&lt;&gt;"",IF(SUM($I$2:$I$200)&lt;&gt;0,I70/SUM($I$2:$I$200),""),"")</f>
        <v/>
      </c>
    </row>
    <row r="71" customFormat="false" ht="15" hidden="false" customHeight="false" outlineLevel="0" collapsed="false">
      <c r="H71" s="0" t="str">
        <f aca="false">IF(A71&lt;&gt;"",googlefinance(A71,"price"),"")</f>
        <v/>
      </c>
      <c r="I71" s="0" t="str">
        <f aca="false">IF(F71&lt;&gt;"",F71*H71,"")</f>
        <v/>
      </c>
      <c r="J71" s="0" t="str">
        <f aca="false">IF(F71&lt;&gt;"",F71*G71,"")</f>
        <v/>
      </c>
      <c r="K71" s="0" t="str">
        <f aca="false">IF(J71&lt;&gt;"",I71-J71,"")</f>
        <v/>
      </c>
      <c r="L71" s="0" t="str">
        <f aca="false">IF(AND(J71&lt;&gt;"",J71&lt;&gt;0),K71/J71,"")</f>
        <v/>
      </c>
      <c r="M71" s="0" t="str">
        <f aca="false">IF(I71&lt;&gt;"",IF(SUM($I$2:$I$200)&lt;&gt;0,I71/SUM($I$2:$I$200),""),"")</f>
        <v/>
      </c>
    </row>
    <row r="72" customFormat="false" ht="15" hidden="false" customHeight="false" outlineLevel="0" collapsed="false">
      <c r="H72" s="0" t="str">
        <f aca="false">IF(A72&lt;&gt;"",googlefinance(A72,"price"),"")</f>
        <v/>
      </c>
      <c r="I72" s="0" t="str">
        <f aca="false">IF(F72&lt;&gt;"",F72*H72,"")</f>
        <v/>
      </c>
      <c r="J72" s="0" t="str">
        <f aca="false">IF(F72&lt;&gt;"",F72*G72,"")</f>
        <v/>
      </c>
      <c r="K72" s="0" t="str">
        <f aca="false">IF(J72&lt;&gt;"",I72-J72,"")</f>
        <v/>
      </c>
      <c r="L72" s="0" t="str">
        <f aca="false">IF(AND(J72&lt;&gt;"",J72&lt;&gt;0),K72/J72,"")</f>
        <v/>
      </c>
      <c r="M72" s="0" t="str">
        <f aca="false">IF(I72&lt;&gt;"",IF(SUM($I$2:$I$200)&lt;&gt;0,I72/SUM($I$2:$I$200),""),"")</f>
        <v/>
      </c>
    </row>
    <row r="73" customFormat="false" ht="15" hidden="false" customHeight="false" outlineLevel="0" collapsed="false">
      <c r="H73" s="0" t="str">
        <f aca="false">IF(A73&lt;&gt;"",googlefinance(A73,"price"),"")</f>
        <v/>
      </c>
      <c r="I73" s="0" t="str">
        <f aca="false">IF(F73&lt;&gt;"",F73*H73,"")</f>
        <v/>
      </c>
      <c r="J73" s="0" t="str">
        <f aca="false">IF(F73&lt;&gt;"",F73*G73,"")</f>
        <v/>
      </c>
      <c r="K73" s="0" t="str">
        <f aca="false">IF(J73&lt;&gt;"",I73-J73,"")</f>
        <v/>
      </c>
      <c r="L73" s="0" t="str">
        <f aca="false">IF(AND(J73&lt;&gt;"",J73&lt;&gt;0),K73/J73,"")</f>
        <v/>
      </c>
      <c r="M73" s="0" t="str">
        <f aca="false">IF(I73&lt;&gt;"",IF(SUM($I$2:$I$200)&lt;&gt;0,I73/SUM($I$2:$I$200),""),"")</f>
        <v/>
      </c>
    </row>
    <row r="74" customFormat="false" ht="15" hidden="false" customHeight="false" outlineLevel="0" collapsed="false">
      <c r="H74" s="0" t="str">
        <f aca="false">IF(A74&lt;&gt;"",googlefinance(A74,"price"),"")</f>
        <v/>
      </c>
      <c r="I74" s="0" t="str">
        <f aca="false">IF(F74&lt;&gt;"",F74*H74,"")</f>
        <v/>
      </c>
      <c r="J74" s="0" t="str">
        <f aca="false">IF(F74&lt;&gt;"",F74*G74,"")</f>
        <v/>
      </c>
      <c r="K74" s="0" t="str">
        <f aca="false">IF(J74&lt;&gt;"",I74-J74,"")</f>
        <v/>
      </c>
      <c r="L74" s="0" t="str">
        <f aca="false">IF(AND(J74&lt;&gt;"",J74&lt;&gt;0),K74/J74,"")</f>
        <v/>
      </c>
      <c r="M74" s="0" t="str">
        <f aca="false">IF(I74&lt;&gt;"",IF(SUM($I$2:$I$200)&lt;&gt;0,I74/SUM($I$2:$I$200),""),"")</f>
        <v/>
      </c>
    </row>
    <row r="75" customFormat="false" ht="15" hidden="false" customHeight="false" outlineLevel="0" collapsed="false">
      <c r="H75" s="0" t="str">
        <f aca="false">IF(A75&lt;&gt;"",googlefinance(A75,"price"),"")</f>
        <v/>
      </c>
      <c r="I75" s="0" t="str">
        <f aca="false">IF(F75&lt;&gt;"",F75*H75,"")</f>
        <v/>
      </c>
      <c r="J75" s="0" t="str">
        <f aca="false">IF(F75&lt;&gt;"",F75*G75,"")</f>
        <v/>
      </c>
      <c r="K75" s="0" t="str">
        <f aca="false">IF(J75&lt;&gt;"",I75-J75,"")</f>
        <v/>
      </c>
      <c r="L75" s="0" t="str">
        <f aca="false">IF(AND(J75&lt;&gt;"",J75&lt;&gt;0),K75/J75,"")</f>
        <v/>
      </c>
      <c r="M75" s="0" t="str">
        <f aca="false">IF(I75&lt;&gt;"",IF(SUM($I$2:$I$200)&lt;&gt;0,I75/SUM($I$2:$I$200),""),"")</f>
        <v/>
      </c>
    </row>
    <row r="76" customFormat="false" ht="15" hidden="false" customHeight="false" outlineLevel="0" collapsed="false">
      <c r="H76" s="0" t="str">
        <f aca="false">IF(A76&lt;&gt;"",googlefinance(A76,"price"),"")</f>
        <v/>
      </c>
      <c r="I76" s="0" t="str">
        <f aca="false">IF(F76&lt;&gt;"",F76*H76,"")</f>
        <v/>
      </c>
      <c r="J76" s="0" t="str">
        <f aca="false">IF(F76&lt;&gt;"",F76*G76,"")</f>
        <v/>
      </c>
      <c r="K76" s="0" t="str">
        <f aca="false">IF(J76&lt;&gt;"",I76-J76,"")</f>
        <v/>
      </c>
      <c r="L76" s="0" t="str">
        <f aca="false">IF(AND(J76&lt;&gt;"",J76&lt;&gt;0),K76/J76,"")</f>
        <v/>
      </c>
      <c r="M76" s="0" t="str">
        <f aca="false">IF(I76&lt;&gt;"",IF(SUM($I$2:$I$200)&lt;&gt;0,I76/SUM($I$2:$I$200),""),"")</f>
        <v/>
      </c>
    </row>
    <row r="77" customFormat="false" ht="15" hidden="false" customHeight="false" outlineLevel="0" collapsed="false">
      <c r="H77" s="0" t="str">
        <f aca="false">IF(A77&lt;&gt;"",googlefinance(A77,"price"),"")</f>
        <v/>
      </c>
      <c r="I77" s="0" t="str">
        <f aca="false">IF(F77&lt;&gt;"",F77*H77,"")</f>
        <v/>
      </c>
      <c r="J77" s="0" t="str">
        <f aca="false">IF(F77&lt;&gt;"",F77*G77,"")</f>
        <v/>
      </c>
      <c r="K77" s="0" t="str">
        <f aca="false">IF(J77&lt;&gt;"",I77-J77,"")</f>
        <v/>
      </c>
      <c r="L77" s="0" t="str">
        <f aca="false">IF(AND(J77&lt;&gt;"",J77&lt;&gt;0),K77/J77,"")</f>
        <v/>
      </c>
      <c r="M77" s="0" t="str">
        <f aca="false">IF(I77&lt;&gt;"",IF(SUM($I$2:$I$200)&lt;&gt;0,I77/SUM($I$2:$I$200),""),"")</f>
        <v/>
      </c>
    </row>
    <row r="78" customFormat="false" ht="15" hidden="false" customHeight="false" outlineLevel="0" collapsed="false">
      <c r="H78" s="0" t="str">
        <f aca="false">IF(A78&lt;&gt;"",googlefinance(A78,"price"),"")</f>
        <v/>
      </c>
      <c r="I78" s="0" t="str">
        <f aca="false">IF(F78&lt;&gt;"",F78*H78,"")</f>
        <v/>
      </c>
      <c r="J78" s="0" t="str">
        <f aca="false">IF(F78&lt;&gt;"",F78*G78,"")</f>
        <v/>
      </c>
      <c r="K78" s="0" t="str">
        <f aca="false">IF(J78&lt;&gt;"",I78-J78,"")</f>
        <v/>
      </c>
      <c r="L78" s="0" t="str">
        <f aca="false">IF(AND(J78&lt;&gt;"",J78&lt;&gt;0),K78/J78,"")</f>
        <v/>
      </c>
      <c r="M78" s="0" t="str">
        <f aca="false">IF(I78&lt;&gt;"",IF(SUM($I$2:$I$200)&lt;&gt;0,I78/SUM($I$2:$I$200),""),"")</f>
        <v/>
      </c>
    </row>
    <row r="79" customFormat="false" ht="15" hidden="false" customHeight="false" outlineLevel="0" collapsed="false">
      <c r="H79" s="0" t="str">
        <f aca="false">IF(A79&lt;&gt;"",googlefinance(A79,"price"),"")</f>
        <v/>
      </c>
      <c r="I79" s="0" t="str">
        <f aca="false">IF(F79&lt;&gt;"",F79*H79,"")</f>
        <v/>
      </c>
      <c r="J79" s="0" t="str">
        <f aca="false">IF(F79&lt;&gt;"",F79*G79,"")</f>
        <v/>
      </c>
      <c r="K79" s="0" t="str">
        <f aca="false">IF(J79&lt;&gt;"",I79-J79,"")</f>
        <v/>
      </c>
      <c r="L79" s="0" t="str">
        <f aca="false">IF(AND(J79&lt;&gt;"",J79&lt;&gt;0),K79/J79,"")</f>
        <v/>
      </c>
      <c r="M79" s="0" t="str">
        <f aca="false">IF(I79&lt;&gt;"",IF(SUM($I$2:$I$200)&lt;&gt;0,I79/SUM($I$2:$I$200),""),"")</f>
        <v/>
      </c>
    </row>
    <row r="80" customFormat="false" ht="15" hidden="false" customHeight="false" outlineLevel="0" collapsed="false">
      <c r="H80" s="0" t="str">
        <f aca="false">IF(A80&lt;&gt;"",googlefinance(A80,"price"),"")</f>
        <v/>
      </c>
      <c r="I80" s="0" t="str">
        <f aca="false">IF(F80&lt;&gt;"",F80*H80,"")</f>
        <v/>
      </c>
      <c r="J80" s="0" t="str">
        <f aca="false">IF(F80&lt;&gt;"",F80*G80,"")</f>
        <v/>
      </c>
      <c r="K80" s="0" t="str">
        <f aca="false">IF(J80&lt;&gt;"",I80-J80,"")</f>
        <v/>
      </c>
      <c r="L80" s="0" t="str">
        <f aca="false">IF(AND(J80&lt;&gt;"",J80&lt;&gt;0),K80/J80,"")</f>
        <v/>
      </c>
      <c r="M80" s="0" t="str">
        <f aca="false">IF(I80&lt;&gt;"",IF(SUM($I$2:$I$200)&lt;&gt;0,I80/SUM($I$2:$I$200),""),"")</f>
        <v/>
      </c>
    </row>
    <row r="81" customFormat="false" ht="15" hidden="false" customHeight="false" outlineLevel="0" collapsed="false">
      <c r="H81" s="0" t="str">
        <f aca="false">IF(A81&lt;&gt;"",googlefinance(A81,"price"),"")</f>
        <v/>
      </c>
      <c r="I81" s="0" t="str">
        <f aca="false">IF(F81&lt;&gt;"",F81*H81,"")</f>
        <v/>
      </c>
      <c r="J81" s="0" t="str">
        <f aca="false">IF(F81&lt;&gt;"",F81*G81,"")</f>
        <v/>
      </c>
      <c r="K81" s="0" t="str">
        <f aca="false">IF(J81&lt;&gt;"",I81-J81,"")</f>
        <v/>
      </c>
      <c r="L81" s="0" t="str">
        <f aca="false">IF(AND(J81&lt;&gt;"",J81&lt;&gt;0),K81/J81,"")</f>
        <v/>
      </c>
      <c r="M81" s="0" t="str">
        <f aca="false">IF(I81&lt;&gt;"",IF(SUM($I$2:$I$200)&lt;&gt;0,I81/SUM($I$2:$I$200),""),"")</f>
        <v/>
      </c>
    </row>
    <row r="82" customFormat="false" ht="15" hidden="false" customHeight="false" outlineLevel="0" collapsed="false">
      <c r="H82" s="0" t="str">
        <f aca="false">IF(A82&lt;&gt;"",googlefinance(A82,"price"),"")</f>
        <v/>
      </c>
      <c r="I82" s="0" t="str">
        <f aca="false">IF(F82&lt;&gt;"",F82*H82,"")</f>
        <v/>
      </c>
      <c r="J82" s="0" t="str">
        <f aca="false">IF(F82&lt;&gt;"",F82*G82,"")</f>
        <v/>
      </c>
      <c r="K82" s="0" t="str">
        <f aca="false">IF(J82&lt;&gt;"",I82-J82,"")</f>
        <v/>
      </c>
      <c r="L82" s="0" t="str">
        <f aca="false">IF(AND(J82&lt;&gt;"",J82&lt;&gt;0),K82/J82,"")</f>
        <v/>
      </c>
      <c r="M82" s="0" t="str">
        <f aca="false">IF(I82&lt;&gt;"",IF(SUM($I$2:$I$200)&lt;&gt;0,I82/SUM($I$2:$I$200),""),"")</f>
        <v/>
      </c>
    </row>
    <row r="83" customFormat="false" ht="15" hidden="false" customHeight="false" outlineLevel="0" collapsed="false">
      <c r="H83" s="0" t="str">
        <f aca="false">IF(A83&lt;&gt;"",googlefinance(A83,"price"),"")</f>
        <v/>
      </c>
      <c r="I83" s="0" t="str">
        <f aca="false">IF(F83&lt;&gt;"",F83*H83,"")</f>
        <v/>
      </c>
      <c r="J83" s="0" t="str">
        <f aca="false">IF(F83&lt;&gt;"",F83*G83,"")</f>
        <v/>
      </c>
      <c r="K83" s="0" t="str">
        <f aca="false">IF(J83&lt;&gt;"",I83-J83,"")</f>
        <v/>
      </c>
      <c r="L83" s="0" t="str">
        <f aca="false">IF(AND(J83&lt;&gt;"",J83&lt;&gt;0),K83/J83,"")</f>
        <v/>
      </c>
      <c r="M83" s="0" t="str">
        <f aca="false">IF(I83&lt;&gt;"",IF(SUM($I$2:$I$200)&lt;&gt;0,I83/SUM($I$2:$I$200),""),"")</f>
        <v/>
      </c>
    </row>
    <row r="84" customFormat="false" ht="15" hidden="false" customHeight="false" outlineLevel="0" collapsed="false">
      <c r="H84" s="0" t="str">
        <f aca="false">IF(A84&lt;&gt;"",googlefinance(A84,"price"),"")</f>
        <v/>
      </c>
      <c r="I84" s="0" t="str">
        <f aca="false">IF(F84&lt;&gt;"",F84*H84,"")</f>
        <v/>
      </c>
      <c r="J84" s="0" t="str">
        <f aca="false">IF(F84&lt;&gt;"",F84*G84,"")</f>
        <v/>
      </c>
      <c r="K84" s="0" t="str">
        <f aca="false">IF(J84&lt;&gt;"",I84-J84,"")</f>
        <v/>
      </c>
      <c r="L84" s="0" t="str">
        <f aca="false">IF(AND(J84&lt;&gt;"",J84&lt;&gt;0),K84/J84,"")</f>
        <v/>
      </c>
      <c r="M84" s="0" t="str">
        <f aca="false">IF(I84&lt;&gt;"",IF(SUM($I$2:$I$200)&lt;&gt;0,I84/SUM($I$2:$I$200),""),"")</f>
        <v/>
      </c>
    </row>
    <row r="85" customFormat="false" ht="15" hidden="false" customHeight="false" outlineLevel="0" collapsed="false">
      <c r="H85" s="0" t="str">
        <f aca="false">IF(A85&lt;&gt;"",googlefinance(A85,"price"),"")</f>
        <v/>
      </c>
      <c r="I85" s="0" t="str">
        <f aca="false">IF(F85&lt;&gt;"",F85*H85,"")</f>
        <v/>
      </c>
      <c r="J85" s="0" t="str">
        <f aca="false">IF(F85&lt;&gt;"",F85*G85,"")</f>
        <v/>
      </c>
      <c r="K85" s="0" t="str">
        <f aca="false">IF(J85&lt;&gt;"",I85-J85,"")</f>
        <v/>
      </c>
      <c r="L85" s="0" t="str">
        <f aca="false">IF(AND(J85&lt;&gt;"",J85&lt;&gt;0),K85/J85,"")</f>
        <v/>
      </c>
      <c r="M85" s="0" t="str">
        <f aca="false">IF(I85&lt;&gt;"",IF(SUM($I$2:$I$200)&lt;&gt;0,I85/SUM($I$2:$I$200),""),"")</f>
        <v/>
      </c>
    </row>
    <row r="86" customFormat="false" ht="15" hidden="false" customHeight="false" outlineLevel="0" collapsed="false">
      <c r="H86" s="0" t="str">
        <f aca="false">IF(A86&lt;&gt;"",googlefinance(A86,"price"),"")</f>
        <v/>
      </c>
      <c r="I86" s="0" t="str">
        <f aca="false">IF(F86&lt;&gt;"",F86*H86,"")</f>
        <v/>
      </c>
      <c r="J86" s="0" t="str">
        <f aca="false">IF(F86&lt;&gt;"",F86*G86,"")</f>
        <v/>
      </c>
      <c r="K86" s="0" t="str">
        <f aca="false">IF(J86&lt;&gt;"",I86-J86,"")</f>
        <v/>
      </c>
      <c r="L86" s="0" t="str">
        <f aca="false">IF(AND(J86&lt;&gt;"",J86&lt;&gt;0),K86/J86,"")</f>
        <v/>
      </c>
      <c r="M86" s="0" t="str">
        <f aca="false">IF(I86&lt;&gt;"",IF(SUM($I$2:$I$200)&lt;&gt;0,I86/SUM($I$2:$I$200),""),"")</f>
        <v/>
      </c>
    </row>
    <row r="87" customFormat="false" ht="15" hidden="false" customHeight="false" outlineLevel="0" collapsed="false">
      <c r="H87" s="0" t="str">
        <f aca="false">IF(A87&lt;&gt;"",googlefinance(A87,"price"),"")</f>
        <v/>
      </c>
      <c r="I87" s="0" t="str">
        <f aca="false">IF(F87&lt;&gt;"",F87*H87,"")</f>
        <v/>
      </c>
      <c r="J87" s="0" t="str">
        <f aca="false">IF(F87&lt;&gt;"",F87*G87,"")</f>
        <v/>
      </c>
      <c r="K87" s="0" t="str">
        <f aca="false">IF(J87&lt;&gt;"",I87-J87,"")</f>
        <v/>
      </c>
      <c r="L87" s="0" t="str">
        <f aca="false">IF(AND(J87&lt;&gt;"",J87&lt;&gt;0),K87/J87,"")</f>
        <v/>
      </c>
      <c r="M87" s="0" t="str">
        <f aca="false">IF(I87&lt;&gt;"",IF(SUM($I$2:$I$200)&lt;&gt;0,I87/SUM($I$2:$I$200),""),"")</f>
        <v/>
      </c>
    </row>
    <row r="88" customFormat="false" ht="15" hidden="false" customHeight="false" outlineLevel="0" collapsed="false">
      <c r="H88" s="0" t="str">
        <f aca="false">IF(A88&lt;&gt;"",googlefinance(A88,"price"),"")</f>
        <v/>
      </c>
      <c r="I88" s="0" t="str">
        <f aca="false">IF(F88&lt;&gt;"",F88*H88,"")</f>
        <v/>
      </c>
      <c r="J88" s="0" t="str">
        <f aca="false">IF(F88&lt;&gt;"",F88*G88,"")</f>
        <v/>
      </c>
      <c r="K88" s="0" t="str">
        <f aca="false">IF(J88&lt;&gt;"",I88-J88,"")</f>
        <v/>
      </c>
      <c r="L88" s="0" t="str">
        <f aca="false">IF(AND(J88&lt;&gt;"",J88&lt;&gt;0),K88/J88,"")</f>
        <v/>
      </c>
      <c r="M88" s="0" t="str">
        <f aca="false">IF(I88&lt;&gt;"",IF(SUM($I$2:$I$200)&lt;&gt;0,I88/SUM($I$2:$I$200),""),"")</f>
        <v/>
      </c>
    </row>
    <row r="89" customFormat="false" ht="15" hidden="false" customHeight="false" outlineLevel="0" collapsed="false">
      <c r="H89" s="0" t="str">
        <f aca="false">IF(A89&lt;&gt;"",googlefinance(A89,"price"),"")</f>
        <v/>
      </c>
      <c r="I89" s="0" t="str">
        <f aca="false">IF(F89&lt;&gt;"",F89*H89,"")</f>
        <v/>
      </c>
      <c r="J89" s="0" t="str">
        <f aca="false">IF(F89&lt;&gt;"",F89*G89,"")</f>
        <v/>
      </c>
      <c r="K89" s="0" t="str">
        <f aca="false">IF(J89&lt;&gt;"",I89-J89,"")</f>
        <v/>
      </c>
      <c r="L89" s="0" t="str">
        <f aca="false">IF(AND(J89&lt;&gt;"",J89&lt;&gt;0),K89/J89,"")</f>
        <v/>
      </c>
      <c r="M89" s="0" t="str">
        <f aca="false">IF(I89&lt;&gt;"",IF(SUM($I$2:$I$200)&lt;&gt;0,I89/SUM($I$2:$I$200),""),"")</f>
        <v/>
      </c>
    </row>
    <row r="90" customFormat="false" ht="15" hidden="false" customHeight="false" outlineLevel="0" collapsed="false">
      <c r="H90" s="0" t="str">
        <f aca="false">IF(A90&lt;&gt;"",googlefinance(A90,"price"),"")</f>
        <v/>
      </c>
      <c r="I90" s="0" t="str">
        <f aca="false">IF(F90&lt;&gt;"",F90*H90,"")</f>
        <v/>
      </c>
      <c r="J90" s="0" t="str">
        <f aca="false">IF(F90&lt;&gt;"",F90*G90,"")</f>
        <v/>
      </c>
      <c r="K90" s="0" t="str">
        <f aca="false">IF(J90&lt;&gt;"",I90-J90,"")</f>
        <v/>
      </c>
      <c r="L90" s="0" t="str">
        <f aca="false">IF(AND(J90&lt;&gt;"",J90&lt;&gt;0),K90/J90,"")</f>
        <v/>
      </c>
      <c r="M90" s="0" t="str">
        <f aca="false">IF(I90&lt;&gt;"",IF(SUM($I$2:$I$200)&lt;&gt;0,I90/SUM($I$2:$I$200),""),"")</f>
        <v/>
      </c>
    </row>
    <row r="91" customFormat="false" ht="15" hidden="false" customHeight="false" outlineLevel="0" collapsed="false">
      <c r="H91" s="0" t="str">
        <f aca="false">IF(A91&lt;&gt;"",googlefinance(A91,"price"),"")</f>
        <v/>
      </c>
      <c r="I91" s="0" t="str">
        <f aca="false">IF(F91&lt;&gt;"",F91*H91,"")</f>
        <v/>
      </c>
      <c r="J91" s="0" t="str">
        <f aca="false">IF(F91&lt;&gt;"",F91*G91,"")</f>
        <v/>
      </c>
      <c r="K91" s="0" t="str">
        <f aca="false">IF(J91&lt;&gt;"",I91-J91,"")</f>
        <v/>
      </c>
      <c r="L91" s="0" t="str">
        <f aca="false">IF(AND(J91&lt;&gt;"",J91&lt;&gt;0),K91/J91,"")</f>
        <v/>
      </c>
      <c r="M91" s="0" t="str">
        <f aca="false">IF(I91&lt;&gt;"",IF(SUM($I$2:$I$200)&lt;&gt;0,I91/SUM($I$2:$I$200),""),"")</f>
        <v/>
      </c>
    </row>
    <row r="92" customFormat="false" ht="15" hidden="false" customHeight="false" outlineLevel="0" collapsed="false">
      <c r="H92" s="0" t="str">
        <f aca="false">IF(A92&lt;&gt;"",googlefinance(A92,"price"),"")</f>
        <v/>
      </c>
      <c r="I92" s="0" t="str">
        <f aca="false">IF(F92&lt;&gt;"",F92*H92,"")</f>
        <v/>
      </c>
      <c r="J92" s="0" t="str">
        <f aca="false">IF(F92&lt;&gt;"",F92*G92,"")</f>
        <v/>
      </c>
      <c r="K92" s="0" t="str">
        <f aca="false">IF(J92&lt;&gt;"",I92-J92,"")</f>
        <v/>
      </c>
      <c r="L92" s="0" t="str">
        <f aca="false">IF(AND(J92&lt;&gt;"",J92&lt;&gt;0),K92/J92,"")</f>
        <v/>
      </c>
      <c r="M92" s="0" t="str">
        <f aca="false">IF(I92&lt;&gt;"",IF(SUM($I$2:$I$200)&lt;&gt;0,I92/SUM($I$2:$I$200),""),"")</f>
        <v/>
      </c>
    </row>
    <row r="93" customFormat="false" ht="15" hidden="false" customHeight="false" outlineLevel="0" collapsed="false">
      <c r="H93" s="0" t="str">
        <f aca="false">IF(A93&lt;&gt;"",googlefinance(A93,"price"),"")</f>
        <v/>
      </c>
      <c r="I93" s="0" t="str">
        <f aca="false">IF(F93&lt;&gt;"",F93*H93,"")</f>
        <v/>
      </c>
      <c r="J93" s="0" t="str">
        <f aca="false">IF(F93&lt;&gt;"",F93*G93,"")</f>
        <v/>
      </c>
      <c r="K93" s="0" t="str">
        <f aca="false">IF(J93&lt;&gt;"",I93-J93,"")</f>
        <v/>
      </c>
      <c r="L93" s="0" t="str">
        <f aca="false">IF(AND(J93&lt;&gt;"",J93&lt;&gt;0),K93/J93,"")</f>
        <v/>
      </c>
      <c r="M93" s="0" t="str">
        <f aca="false">IF(I93&lt;&gt;"",IF(SUM($I$2:$I$200)&lt;&gt;0,I93/SUM($I$2:$I$200),""),"")</f>
        <v/>
      </c>
    </row>
    <row r="94" customFormat="false" ht="15" hidden="false" customHeight="false" outlineLevel="0" collapsed="false">
      <c r="H94" s="0" t="str">
        <f aca="false">IF(A94&lt;&gt;"",googlefinance(A94,"price"),"")</f>
        <v/>
      </c>
      <c r="I94" s="0" t="str">
        <f aca="false">IF(F94&lt;&gt;"",F94*H94,"")</f>
        <v/>
      </c>
      <c r="J94" s="0" t="str">
        <f aca="false">IF(F94&lt;&gt;"",F94*G94,"")</f>
        <v/>
      </c>
      <c r="K94" s="0" t="str">
        <f aca="false">IF(J94&lt;&gt;"",I94-J94,"")</f>
        <v/>
      </c>
      <c r="L94" s="0" t="str">
        <f aca="false">IF(AND(J94&lt;&gt;"",J94&lt;&gt;0),K94/J94,"")</f>
        <v/>
      </c>
      <c r="M94" s="0" t="str">
        <f aca="false">IF(I94&lt;&gt;"",IF(SUM($I$2:$I$200)&lt;&gt;0,I94/SUM($I$2:$I$200),""),"")</f>
        <v/>
      </c>
    </row>
    <row r="95" customFormat="false" ht="15" hidden="false" customHeight="false" outlineLevel="0" collapsed="false">
      <c r="H95" s="0" t="str">
        <f aca="false">IF(A95&lt;&gt;"",googlefinance(A95,"price"),"")</f>
        <v/>
      </c>
      <c r="I95" s="0" t="str">
        <f aca="false">IF(F95&lt;&gt;"",F95*H95,"")</f>
        <v/>
      </c>
      <c r="J95" s="0" t="str">
        <f aca="false">IF(F95&lt;&gt;"",F95*G95,"")</f>
        <v/>
      </c>
      <c r="K95" s="0" t="str">
        <f aca="false">IF(J95&lt;&gt;"",I95-J95,"")</f>
        <v/>
      </c>
      <c r="L95" s="0" t="str">
        <f aca="false">IF(AND(J95&lt;&gt;"",J95&lt;&gt;0),K95/J95,"")</f>
        <v/>
      </c>
      <c r="M95" s="0" t="str">
        <f aca="false">IF(I95&lt;&gt;"",IF(SUM($I$2:$I$200)&lt;&gt;0,I95/SUM($I$2:$I$200),""),"")</f>
        <v/>
      </c>
    </row>
    <row r="96" customFormat="false" ht="15" hidden="false" customHeight="false" outlineLevel="0" collapsed="false">
      <c r="H96" s="0" t="str">
        <f aca="false">IF(A96&lt;&gt;"",googlefinance(A96,"price"),"")</f>
        <v/>
      </c>
      <c r="I96" s="0" t="str">
        <f aca="false">IF(F96&lt;&gt;"",F96*H96,"")</f>
        <v/>
      </c>
      <c r="J96" s="0" t="str">
        <f aca="false">IF(F96&lt;&gt;"",F96*G96,"")</f>
        <v/>
      </c>
      <c r="K96" s="0" t="str">
        <f aca="false">IF(J96&lt;&gt;"",I96-J96,"")</f>
        <v/>
      </c>
      <c r="L96" s="0" t="str">
        <f aca="false">IF(AND(J96&lt;&gt;"",J96&lt;&gt;0),K96/J96,"")</f>
        <v/>
      </c>
      <c r="M96" s="0" t="str">
        <f aca="false">IF(I96&lt;&gt;"",IF(SUM($I$2:$I$200)&lt;&gt;0,I96/SUM($I$2:$I$200),""),"")</f>
        <v/>
      </c>
    </row>
    <row r="97" customFormat="false" ht="15" hidden="false" customHeight="false" outlineLevel="0" collapsed="false">
      <c r="H97" s="0" t="str">
        <f aca="false">IF(A97&lt;&gt;"",googlefinance(A97,"price"),"")</f>
        <v/>
      </c>
      <c r="I97" s="0" t="str">
        <f aca="false">IF(F97&lt;&gt;"",F97*H97,"")</f>
        <v/>
      </c>
      <c r="J97" s="0" t="str">
        <f aca="false">IF(F97&lt;&gt;"",F97*G97,"")</f>
        <v/>
      </c>
      <c r="K97" s="0" t="str">
        <f aca="false">IF(J97&lt;&gt;"",I97-J97,"")</f>
        <v/>
      </c>
      <c r="L97" s="0" t="str">
        <f aca="false">IF(AND(J97&lt;&gt;"",J97&lt;&gt;0),K97/J97,"")</f>
        <v/>
      </c>
      <c r="M97" s="0" t="str">
        <f aca="false">IF(I97&lt;&gt;"",IF(SUM($I$2:$I$200)&lt;&gt;0,I97/SUM($I$2:$I$200),""),"")</f>
        <v/>
      </c>
    </row>
    <row r="98" customFormat="false" ht="15" hidden="false" customHeight="false" outlineLevel="0" collapsed="false">
      <c r="H98" s="0" t="str">
        <f aca="false">IF(A98&lt;&gt;"",googlefinance(A98,"price"),"")</f>
        <v/>
      </c>
      <c r="I98" s="0" t="str">
        <f aca="false">IF(F98&lt;&gt;"",F98*H98,"")</f>
        <v/>
      </c>
      <c r="J98" s="0" t="str">
        <f aca="false">IF(F98&lt;&gt;"",F98*G98,"")</f>
        <v/>
      </c>
      <c r="K98" s="0" t="str">
        <f aca="false">IF(J98&lt;&gt;"",I98-J98,"")</f>
        <v/>
      </c>
      <c r="L98" s="0" t="str">
        <f aca="false">IF(AND(J98&lt;&gt;"",J98&lt;&gt;0),K98/J98,"")</f>
        <v/>
      </c>
      <c r="M98" s="0" t="str">
        <f aca="false">IF(I98&lt;&gt;"",IF(SUM($I$2:$I$200)&lt;&gt;0,I98/SUM($I$2:$I$200),""),"")</f>
        <v/>
      </c>
    </row>
    <row r="99" customFormat="false" ht="15" hidden="false" customHeight="false" outlineLevel="0" collapsed="false">
      <c r="H99" s="0" t="str">
        <f aca="false">IF(A99&lt;&gt;"",googlefinance(A99,"price"),"")</f>
        <v/>
      </c>
      <c r="I99" s="0" t="str">
        <f aca="false">IF(F99&lt;&gt;"",F99*H99,"")</f>
        <v/>
      </c>
      <c r="J99" s="0" t="str">
        <f aca="false">IF(F99&lt;&gt;"",F99*G99,"")</f>
        <v/>
      </c>
      <c r="K99" s="0" t="str">
        <f aca="false">IF(J99&lt;&gt;"",I99-J99,"")</f>
        <v/>
      </c>
      <c r="L99" s="0" t="str">
        <f aca="false">IF(AND(J99&lt;&gt;"",J99&lt;&gt;0),K99/J99,"")</f>
        <v/>
      </c>
      <c r="M99" s="0" t="str">
        <f aca="false">IF(I99&lt;&gt;"",IF(SUM($I$2:$I$200)&lt;&gt;0,I99/SUM($I$2:$I$200),""),"")</f>
        <v/>
      </c>
    </row>
    <row r="100" customFormat="false" ht="15" hidden="false" customHeight="false" outlineLevel="0" collapsed="false">
      <c r="H100" s="0" t="str">
        <f aca="false">IF(A100&lt;&gt;"",googlefinance(A100,"price"),"")</f>
        <v/>
      </c>
      <c r="I100" s="0" t="str">
        <f aca="false">IF(F100&lt;&gt;"",F100*H100,"")</f>
        <v/>
      </c>
      <c r="J100" s="0" t="str">
        <f aca="false">IF(F100&lt;&gt;"",F100*G100,"")</f>
        <v/>
      </c>
      <c r="K100" s="0" t="str">
        <f aca="false">IF(J100&lt;&gt;"",I100-J100,"")</f>
        <v/>
      </c>
      <c r="L100" s="0" t="str">
        <f aca="false">IF(AND(J100&lt;&gt;"",J100&lt;&gt;0),K100/J100,"")</f>
        <v/>
      </c>
      <c r="M100" s="0" t="str">
        <f aca="false">IF(I100&lt;&gt;"",IF(SUM($I$2:$I$200)&lt;&gt;0,I100/SUM($I$2:$I$200),""),"")</f>
        <v/>
      </c>
    </row>
    <row r="101" customFormat="false" ht="15" hidden="false" customHeight="false" outlineLevel="0" collapsed="false">
      <c r="H101" s="0" t="str">
        <f aca="false">IF(A101&lt;&gt;"",googlefinance(A101,"price"),"")</f>
        <v/>
      </c>
      <c r="I101" s="0" t="str">
        <f aca="false">IF(F101&lt;&gt;"",F101*H101,"")</f>
        <v/>
      </c>
      <c r="J101" s="0" t="str">
        <f aca="false">IF(F101&lt;&gt;"",F101*G101,"")</f>
        <v/>
      </c>
      <c r="K101" s="0" t="str">
        <f aca="false">IF(J101&lt;&gt;"",I101-J101,"")</f>
        <v/>
      </c>
      <c r="L101" s="0" t="str">
        <f aca="false">IF(AND(J101&lt;&gt;"",J101&lt;&gt;0),K101/J101,"")</f>
        <v/>
      </c>
      <c r="M101" s="0" t="str">
        <f aca="false">IF(I101&lt;&gt;"",IF(SUM($I$2:$I$200)&lt;&gt;0,I101/SUM($I$2:$I$200),""),"")</f>
        <v/>
      </c>
    </row>
    <row r="102" customFormat="false" ht="15" hidden="false" customHeight="false" outlineLevel="0" collapsed="false">
      <c r="H102" s="0" t="str">
        <f aca="false">IF(A102&lt;&gt;"",googlefinance(A102,"price"),"")</f>
        <v/>
      </c>
      <c r="I102" s="0" t="str">
        <f aca="false">IF(F102&lt;&gt;"",F102*H102,"")</f>
        <v/>
      </c>
      <c r="J102" s="0" t="str">
        <f aca="false">IF(F102&lt;&gt;"",F102*G102,"")</f>
        <v/>
      </c>
      <c r="K102" s="0" t="str">
        <f aca="false">IF(J102&lt;&gt;"",I102-J102,"")</f>
        <v/>
      </c>
      <c r="L102" s="0" t="str">
        <f aca="false">IF(AND(J102&lt;&gt;"",J102&lt;&gt;0),K102/J102,"")</f>
        <v/>
      </c>
      <c r="M102" s="0" t="str">
        <f aca="false">IF(I102&lt;&gt;"",IF(SUM($I$2:$I$200)&lt;&gt;0,I102/SUM($I$2:$I$200),""),"")</f>
        <v/>
      </c>
    </row>
    <row r="103" customFormat="false" ht="15" hidden="false" customHeight="false" outlineLevel="0" collapsed="false">
      <c r="H103" s="0" t="str">
        <f aca="false">IF(A103&lt;&gt;"",googlefinance(A103,"price"),"")</f>
        <v/>
      </c>
      <c r="I103" s="0" t="str">
        <f aca="false">IF(F103&lt;&gt;"",F103*H103,"")</f>
        <v/>
      </c>
      <c r="J103" s="0" t="str">
        <f aca="false">IF(F103&lt;&gt;"",F103*G103,"")</f>
        <v/>
      </c>
      <c r="K103" s="0" t="str">
        <f aca="false">IF(J103&lt;&gt;"",I103-J103,"")</f>
        <v/>
      </c>
      <c r="L103" s="0" t="str">
        <f aca="false">IF(AND(J103&lt;&gt;"",J103&lt;&gt;0),K103/J103,"")</f>
        <v/>
      </c>
      <c r="M103" s="0" t="str">
        <f aca="false">IF(I103&lt;&gt;"",IF(SUM($I$2:$I$200)&lt;&gt;0,I103/SUM($I$2:$I$200),""),"")</f>
        <v/>
      </c>
    </row>
    <row r="104" customFormat="false" ht="15" hidden="false" customHeight="false" outlineLevel="0" collapsed="false">
      <c r="H104" s="0" t="str">
        <f aca="false">IF(A104&lt;&gt;"",googlefinance(A104,"price"),"")</f>
        <v/>
      </c>
      <c r="I104" s="0" t="str">
        <f aca="false">IF(F104&lt;&gt;"",F104*H104,"")</f>
        <v/>
      </c>
      <c r="J104" s="0" t="str">
        <f aca="false">IF(F104&lt;&gt;"",F104*G104,"")</f>
        <v/>
      </c>
      <c r="K104" s="0" t="str">
        <f aca="false">IF(J104&lt;&gt;"",I104-J104,"")</f>
        <v/>
      </c>
      <c r="L104" s="0" t="str">
        <f aca="false">IF(AND(J104&lt;&gt;"",J104&lt;&gt;0),K104/J104,"")</f>
        <v/>
      </c>
      <c r="M104" s="0" t="str">
        <f aca="false">IF(I104&lt;&gt;"",IF(SUM($I$2:$I$200)&lt;&gt;0,I104/SUM($I$2:$I$200),""),"")</f>
        <v/>
      </c>
    </row>
    <row r="105" customFormat="false" ht="15" hidden="false" customHeight="false" outlineLevel="0" collapsed="false">
      <c r="H105" s="0" t="str">
        <f aca="false">IF(A105&lt;&gt;"",googlefinance(A105,"price"),"")</f>
        <v/>
      </c>
      <c r="I105" s="0" t="str">
        <f aca="false">IF(F105&lt;&gt;"",F105*H105,"")</f>
        <v/>
      </c>
      <c r="J105" s="0" t="str">
        <f aca="false">IF(F105&lt;&gt;"",F105*G105,"")</f>
        <v/>
      </c>
      <c r="K105" s="0" t="str">
        <f aca="false">IF(J105&lt;&gt;"",I105-J105,"")</f>
        <v/>
      </c>
      <c r="L105" s="0" t="str">
        <f aca="false">IF(AND(J105&lt;&gt;"",J105&lt;&gt;0),K105/J105,"")</f>
        <v/>
      </c>
      <c r="M105" s="0" t="str">
        <f aca="false">IF(I105&lt;&gt;"",IF(SUM($I$2:$I$200)&lt;&gt;0,I105/SUM($I$2:$I$200),""),"")</f>
        <v/>
      </c>
    </row>
    <row r="106" customFormat="false" ht="15" hidden="false" customHeight="false" outlineLevel="0" collapsed="false">
      <c r="H106" s="0" t="str">
        <f aca="false">IF(A106&lt;&gt;"",googlefinance(A106,"price"),"")</f>
        <v/>
      </c>
      <c r="I106" s="0" t="str">
        <f aca="false">IF(F106&lt;&gt;"",F106*H106,"")</f>
        <v/>
      </c>
      <c r="J106" s="0" t="str">
        <f aca="false">IF(F106&lt;&gt;"",F106*G106,"")</f>
        <v/>
      </c>
      <c r="K106" s="0" t="str">
        <f aca="false">IF(J106&lt;&gt;"",I106-J106,"")</f>
        <v/>
      </c>
      <c r="L106" s="0" t="str">
        <f aca="false">IF(AND(J106&lt;&gt;"",J106&lt;&gt;0),K106/J106,"")</f>
        <v/>
      </c>
      <c r="M106" s="0" t="str">
        <f aca="false">IF(I106&lt;&gt;"",IF(SUM($I$2:$I$200)&lt;&gt;0,I106/SUM($I$2:$I$200),""),"")</f>
        <v/>
      </c>
    </row>
    <row r="107" customFormat="false" ht="15" hidden="false" customHeight="false" outlineLevel="0" collapsed="false">
      <c r="H107" s="0" t="str">
        <f aca="false">IF(A107&lt;&gt;"",googlefinance(A107,"price"),"")</f>
        <v/>
      </c>
      <c r="I107" s="0" t="str">
        <f aca="false">IF(F107&lt;&gt;"",F107*H107,"")</f>
        <v/>
      </c>
      <c r="J107" s="0" t="str">
        <f aca="false">IF(F107&lt;&gt;"",F107*G107,"")</f>
        <v/>
      </c>
      <c r="K107" s="0" t="str">
        <f aca="false">IF(J107&lt;&gt;"",I107-J107,"")</f>
        <v/>
      </c>
      <c r="L107" s="0" t="str">
        <f aca="false">IF(AND(J107&lt;&gt;"",J107&lt;&gt;0),K107/J107,"")</f>
        <v/>
      </c>
      <c r="M107" s="0" t="str">
        <f aca="false">IF(I107&lt;&gt;"",IF(SUM($I$2:$I$200)&lt;&gt;0,I107/SUM($I$2:$I$200),""),"")</f>
        <v/>
      </c>
    </row>
    <row r="108" customFormat="false" ht="15" hidden="false" customHeight="false" outlineLevel="0" collapsed="false">
      <c r="H108" s="0" t="str">
        <f aca="false">IF(A108&lt;&gt;"",googlefinance(A108,"price"),"")</f>
        <v/>
      </c>
      <c r="I108" s="0" t="str">
        <f aca="false">IF(F108&lt;&gt;"",F108*H108,"")</f>
        <v/>
      </c>
      <c r="J108" s="0" t="str">
        <f aca="false">IF(F108&lt;&gt;"",F108*G108,"")</f>
        <v/>
      </c>
      <c r="K108" s="0" t="str">
        <f aca="false">IF(J108&lt;&gt;"",I108-J108,"")</f>
        <v/>
      </c>
      <c r="L108" s="0" t="str">
        <f aca="false">IF(AND(J108&lt;&gt;"",J108&lt;&gt;0),K108/J108,"")</f>
        <v/>
      </c>
      <c r="M108" s="0" t="str">
        <f aca="false">IF(I108&lt;&gt;"",IF(SUM($I$2:$I$200)&lt;&gt;0,I108/SUM($I$2:$I$200),""),"")</f>
        <v/>
      </c>
    </row>
    <row r="109" customFormat="false" ht="15" hidden="false" customHeight="false" outlineLevel="0" collapsed="false">
      <c r="H109" s="0" t="str">
        <f aca="false">IF(A109&lt;&gt;"",googlefinance(A109,"price"),"")</f>
        <v/>
      </c>
      <c r="I109" s="0" t="str">
        <f aca="false">IF(F109&lt;&gt;"",F109*H109,"")</f>
        <v/>
      </c>
      <c r="J109" s="0" t="str">
        <f aca="false">IF(F109&lt;&gt;"",F109*G109,"")</f>
        <v/>
      </c>
      <c r="K109" s="0" t="str">
        <f aca="false">IF(J109&lt;&gt;"",I109-J109,"")</f>
        <v/>
      </c>
      <c r="L109" s="0" t="str">
        <f aca="false">IF(AND(J109&lt;&gt;"",J109&lt;&gt;0),K109/J109,"")</f>
        <v/>
      </c>
      <c r="M109" s="0" t="str">
        <f aca="false">IF(I109&lt;&gt;"",IF(SUM($I$2:$I$200)&lt;&gt;0,I109/SUM($I$2:$I$200),""),"")</f>
        <v/>
      </c>
    </row>
    <row r="110" customFormat="false" ht="15" hidden="false" customHeight="false" outlineLevel="0" collapsed="false">
      <c r="H110" s="0" t="str">
        <f aca="false">IF(A110&lt;&gt;"",googlefinance(A110,"price"),"")</f>
        <v/>
      </c>
      <c r="I110" s="0" t="str">
        <f aca="false">IF(F110&lt;&gt;"",F110*H110,"")</f>
        <v/>
      </c>
      <c r="J110" s="0" t="str">
        <f aca="false">IF(F110&lt;&gt;"",F110*G110,"")</f>
        <v/>
      </c>
      <c r="K110" s="0" t="str">
        <f aca="false">IF(J110&lt;&gt;"",I110-J110,"")</f>
        <v/>
      </c>
      <c r="L110" s="0" t="str">
        <f aca="false">IF(AND(J110&lt;&gt;"",J110&lt;&gt;0),K110/J110,"")</f>
        <v/>
      </c>
      <c r="M110" s="0" t="str">
        <f aca="false">IF(I110&lt;&gt;"",IF(SUM($I$2:$I$200)&lt;&gt;0,I110/SUM($I$2:$I$200),""),"")</f>
        <v/>
      </c>
    </row>
    <row r="111" customFormat="false" ht="15" hidden="false" customHeight="false" outlineLevel="0" collapsed="false">
      <c r="H111" s="0" t="str">
        <f aca="false">IF(A111&lt;&gt;"",googlefinance(A111,"price"),"")</f>
        <v/>
      </c>
      <c r="I111" s="0" t="str">
        <f aca="false">IF(F111&lt;&gt;"",F111*H111,"")</f>
        <v/>
      </c>
      <c r="J111" s="0" t="str">
        <f aca="false">IF(F111&lt;&gt;"",F111*G111,"")</f>
        <v/>
      </c>
      <c r="K111" s="0" t="str">
        <f aca="false">IF(J111&lt;&gt;"",I111-J111,"")</f>
        <v/>
      </c>
      <c r="L111" s="0" t="str">
        <f aca="false">IF(AND(J111&lt;&gt;"",J111&lt;&gt;0),K111/J111,"")</f>
        <v/>
      </c>
      <c r="M111" s="0" t="str">
        <f aca="false">IF(I111&lt;&gt;"",IF(SUM($I$2:$I$200)&lt;&gt;0,I111/SUM($I$2:$I$200),""),"")</f>
        <v/>
      </c>
    </row>
    <row r="112" customFormat="false" ht="15" hidden="false" customHeight="false" outlineLevel="0" collapsed="false">
      <c r="H112" s="0" t="str">
        <f aca="false">IF(A112&lt;&gt;"",googlefinance(A112,"price"),"")</f>
        <v/>
      </c>
      <c r="I112" s="0" t="str">
        <f aca="false">IF(F112&lt;&gt;"",F112*H112,"")</f>
        <v/>
      </c>
      <c r="J112" s="0" t="str">
        <f aca="false">IF(F112&lt;&gt;"",F112*G112,"")</f>
        <v/>
      </c>
      <c r="K112" s="0" t="str">
        <f aca="false">IF(J112&lt;&gt;"",I112-J112,"")</f>
        <v/>
      </c>
      <c r="L112" s="0" t="str">
        <f aca="false">IF(AND(J112&lt;&gt;"",J112&lt;&gt;0),K112/J112,"")</f>
        <v/>
      </c>
      <c r="M112" s="0" t="str">
        <f aca="false">IF(I112&lt;&gt;"",IF(SUM($I$2:$I$200)&lt;&gt;0,I112/SUM($I$2:$I$200),""),"")</f>
        <v/>
      </c>
    </row>
    <row r="113" customFormat="false" ht="15" hidden="false" customHeight="false" outlineLevel="0" collapsed="false">
      <c r="H113" s="0" t="str">
        <f aca="false">IF(A113&lt;&gt;"",googlefinance(A113,"price"),"")</f>
        <v/>
      </c>
      <c r="I113" s="0" t="str">
        <f aca="false">IF(F113&lt;&gt;"",F113*H113,"")</f>
        <v/>
      </c>
      <c r="J113" s="0" t="str">
        <f aca="false">IF(F113&lt;&gt;"",F113*G113,"")</f>
        <v/>
      </c>
      <c r="K113" s="0" t="str">
        <f aca="false">IF(J113&lt;&gt;"",I113-J113,"")</f>
        <v/>
      </c>
      <c r="L113" s="0" t="str">
        <f aca="false">IF(AND(J113&lt;&gt;"",J113&lt;&gt;0),K113/J113,"")</f>
        <v/>
      </c>
      <c r="M113" s="0" t="str">
        <f aca="false">IF(I113&lt;&gt;"",IF(SUM($I$2:$I$200)&lt;&gt;0,I113/SUM($I$2:$I$200),""),"")</f>
        <v/>
      </c>
    </row>
    <row r="114" customFormat="false" ht="15" hidden="false" customHeight="false" outlineLevel="0" collapsed="false">
      <c r="H114" s="0" t="str">
        <f aca="false">IF(A114&lt;&gt;"",googlefinance(A114,"price"),"")</f>
        <v/>
      </c>
      <c r="I114" s="0" t="str">
        <f aca="false">IF(F114&lt;&gt;"",F114*H114,"")</f>
        <v/>
      </c>
      <c r="J114" s="0" t="str">
        <f aca="false">IF(F114&lt;&gt;"",F114*G114,"")</f>
        <v/>
      </c>
      <c r="K114" s="0" t="str">
        <f aca="false">IF(J114&lt;&gt;"",I114-J114,"")</f>
        <v/>
      </c>
      <c r="L114" s="0" t="str">
        <f aca="false">IF(AND(J114&lt;&gt;"",J114&lt;&gt;0),K114/J114,"")</f>
        <v/>
      </c>
      <c r="M114" s="0" t="str">
        <f aca="false">IF(I114&lt;&gt;"",IF(SUM($I$2:$I$200)&lt;&gt;0,I114/SUM($I$2:$I$200),""),"")</f>
        <v/>
      </c>
    </row>
    <row r="115" customFormat="false" ht="15" hidden="false" customHeight="false" outlineLevel="0" collapsed="false">
      <c r="H115" s="0" t="str">
        <f aca="false">IF(A115&lt;&gt;"",googlefinance(A115,"price"),"")</f>
        <v/>
      </c>
      <c r="I115" s="0" t="str">
        <f aca="false">IF(F115&lt;&gt;"",F115*H115,"")</f>
        <v/>
      </c>
      <c r="J115" s="0" t="str">
        <f aca="false">IF(F115&lt;&gt;"",F115*G115,"")</f>
        <v/>
      </c>
      <c r="K115" s="0" t="str">
        <f aca="false">IF(J115&lt;&gt;"",I115-J115,"")</f>
        <v/>
      </c>
      <c r="L115" s="0" t="str">
        <f aca="false">IF(AND(J115&lt;&gt;"",J115&lt;&gt;0),K115/J115,"")</f>
        <v/>
      </c>
      <c r="M115" s="0" t="str">
        <f aca="false">IF(I115&lt;&gt;"",IF(SUM($I$2:$I$200)&lt;&gt;0,I115/SUM($I$2:$I$200),""),"")</f>
        <v/>
      </c>
    </row>
    <row r="116" customFormat="false" ht="15" hidden="false" customHeight="false" outlineLevel="0" collapsed="false">
      <c r="H116" s="0" t="str">
        <f aca="false">IF(A116&lt;&gt;"",googlefinance(A116,"price"),"")</f>
        <v/>
      </c>
      <c r="I116" s="0" t="str">
        <f aca="false">IF(F116&lt;&gt;"",F116*H116,"")</f>
        <v/>
      </c>
      <c r="J116" s="0" t="str">
        <f aca="false">IF(F116&lt;&gt;"",F116*G116,"")</f>
        <v/>
      </c>
      <c r="K116" s="0" t="str">
        <f aca="false">IF(J116&lt;&gt;"",I116-J116,"")</f>
        <v/>
      </c>
      <c r="L116" s="0" t="str">
        <f aca="false">IF(AND(J116&lt;&gt;"",J116&lt;&gt;0),K116/J116,"")</f>
        <v/>
      </c>
      <c r="M116" s="0" t="str">
        <f aca="false">IF(I116&lt;&gt;"",IF(SUM($I$2:$I$200)&lt;&gt;0,I116/SUM($I$2:$I$200),""),"")</f>
        <v/>
      </c>
    </row>
    <row r="117" customFormat="false" ht="15" hidden="false" customHeight="false" outlineLevel="0" collapsed="false">
      <c r="H117" s="0" t="str">
        <f aca="false">IF(A117&lt;&gt;"",googlefinance(A117,"price"),"")</f>
        <v/>
      </c>
      <c r="I117" s="0" t="str">
        <f aca="false">IF(F117&lt;&gt;"",F117*H117,"")</f>
        <v/>
      </c>
      <c r="J117" s="0" t="str">
        <f aca="false">IF(F117&lt;&gt;"",F117*G117,"")</f>
        <v/>
      </c>
      <c r="K117" s="0" t="str">
        <f aca="false">IF(J117&lt;&gt;"",I117-J117,"")</f>
        <v/>
      </c>
      <c r="L117" s="0" t="str">
        <f aca="false">IF(AND(J117&lt;&gt;"",J117&lt;&gt;0),K117/J117,"")</f>
        <v/>
      </c>
      <c r="M117" s="0" t="str">
        <f aca="false">IF(I117&lt;&gt;"",IF(SUM($I$2:$I$200)&lt;&gt;0,I117/SUM($I$2:$I$200),""),"")</f>
        <v/>
      </c>
    </row>
    <row r="118" customFormat="false" ht="15" hidden="false" customHeight="false" outlineLevel="0" collapsed="false">
      <c r="H118" s="0" t="str">
        <f aca="false">IF(A118&lt;&gt;"",googlefinance(A118,"price"),"")</f>
        <v/>
      </c>
      <c r="I118" s="0" t="str">
        <f aca="false">IF(F118&lt;&gt;"",F118*H118,"")</f>
        <v/>
      </c>
      <c r="J118" s="0" t="str">
        <f aca="false">IF(F118&lt;&gt;"",F118*G118,"")</f>
        <v/>
      </c>
      <c r="K118" s="0" t="str">
        <f aca="false">IF(J118&lt;&gt;"",I118-J118,"")</f>
        <v/>
      </c>
      <c r="L118" s="0" t="str">
        <f aca="false">IF(AND(J118&lt;&gt;"",J118&lt;&gt;0),K118/J118,"")</f>
        <v/>
      </c>
      <c r="M118" s="0" t="str">
        <f aca="false">IF(I118&lt;&gt;"",IF(SUM($I$2:$I$200)&lt;&gt;0,I118/SUM($I$2:$I$200),""),"")</f>
        <v/>
      </c>
    </row>
    <row r="119" customFormat="false" ht="15" hidden="false" customHeight="false" outlineLevel="0" collapsed="false">
      <c r="H119" s="0" t="str">
        <f aca="false">IF(A119&lt;&gt;"",googlefinance(A119,"price"),"")</f>
        <v/>
      </c>
      <c r="I119" s="0" t="str">
        <f aca="false">IF(F119&lt;&gt;"",F119*H119,"")</f>
        <v/>
      </c>
      <c r="J119" s="0" t="str">
        <f aca="false">IF(F119&lt;&gt;"",F119*G119,"")</f>
        <v/>
      </c>
      <c r="K119" s="0" t="str">
        <f aca="false">IF(J119&lt;&gt;"",I119-J119,"")</f>
        <v/>
      </c>
      <c r="L119" s="0" t="str">
        <f aca="false">IF(AND(J119&lt;&gt;"",J119&lt;&gt;0),K119/J119,"")</f>
        <v/>
      </c>
      <c r="M119" s="0" t="str">
        <f aca="false">IF(I119&lt;&gt;"",IF(SUM($I$2:$I$200)&lt;&gt;0,I119/SUM($I$2:$I$200),""),"")</f>
        <v/>
      </c>
    </row>
    <row r="120" customFormat="false" ht="15" hidden="false" customHeight="false" outlineLevel="0" collapsed="false">
      <c r="H120" s="0" t="str">
        <f aca="false">IF(A120&lt;&gt;"",googlefinance(A120,"price"),"")</f>
        <v/>
      </c>
      <c r="I120" s="0" t="str">
        <f aca="false">IF(F120&lt;&gt;"",F120*H120,"")</f>
        <v/>
      </c>
      <c r="J120" s="0" t="str">
        <f aca="false">IF(F120&lt;&gt;"",F120*G120,"")</f>
        <v/>
      </c>
      <c r="K120" s="0" t="str">
        <f aca="false">IF(J120&lt;&gt;"",I120-J120,"")</f>
        <v/>
      </c>
      <c r="L120" s="0" t="str">
        <f aca="false">IF(AND(J120&lt;&gt;"",J120&lt;&gt;0),K120/J120,"")</f>
        <v/>
      </c>
      <c r="M120" s="0" t="str">
        <f aca="false">IF(I120&lt;&gt;"",IF(SUM($I$2:$I$200)&lt;&gt;0,I120/SUM($I$2:$I$200),""),"")</f>
        <v/>
      </c>
    </row>
    <row r="121" customFormat="false" ht="15" hidden="false" customHeight="false" outlineLevel="0" collapsed="false">
      <c r="H121" s="0" t="str">
        <f aca="false">IF(A121&lt;&gt;"",googlefinance(A121,"price"),"")</f>
        <v/>
      </c>
      <c r="I121" s="0" t="str">
        <f aca="false">IF(F121&lt;&gt;"",F121*H121,"")</f>
        <v/>
      </c>
      <c r="J121" s="0" t="str">
        <f aca="false">IF(F121&lt;&gt;"",F121*G121,"")</f>
        <v/>
      </c>
      <c r="K121" s="0" t="str">
        <f aca="false">IF(J121&lt;&gt;"",I121-J121,"")</f>
        <v/>
      </c>
      <c r="L121" s="0" t="str">
        <f aca="false">IF(AND(J121&lt;&gt;"",J121&lt;&gt;0),K121/J121,"")</f>
        <v/>
      </c>
      <c r="M121" s="0" t="str">
        <f aca="false">IF(I121&lt;&gt;"",IF(SUM($I$2:$I$200)&lt;&gt;0,I121/SUM($I$2:$I$200),""),"")</f>
        <v/>
      </c>
    </row>
    <row r="122" customFormat="false" ht="15" hidden="false" customHeight="false" outlineLevel="0" collapsed="false">
      <c r="H122" s="0" t="str">
        <f aca="false">IF(A122&lt;&gt;"",googlefinance(A122,"price"),"")</f>
        <v/>
      </c>
      <c r="I122" s="0" t="str">
        <f aca="false">IF(F122&lt;&gt;"",F122*H122,"")</f>
        <v/>
      </c>
      <c r="J122" s="0" t="str">
        <f aca="false">IF(F122&lt;&gt;"",F122*G122,"")</f>
        <v/>
      </c>
      <c r="K122" s="0" t="str">
        <f aca="false">IF(J122&lt;&gt;"",I122-J122,"")</f>
        <v/>
      </c>
      <c r="L122" s="0" t="str">
        <f aca="false">IF(AND(J122&lt;&gt;"",J122&lt;&gt;0),K122/J122,"")</f>
        <v/>
      </c>
      <c r="M122" s="0" t="str">
        <f aca="false">IF(I122&lt;&gt;"",IF(SUM($I$2:$I$200)&lt;&gt;0,I122/SUM($I$2:$I$200),""),"")</f>
        <v/>
      </c>
    </row>
    <row r="123" customFormat="false" ht="15" hidden="false" customHeight="false" outlineLevel="0" collapsed="false">
      <c r="H123" s="0" t="str">
        <f aca="false">IF(A123&lt;&gt;"",googlefinance(A123,"price"),"")</f>
        <v/>
      </c>
      <c r="I123" s="0" t="str">
        <f aca="false">IF(F123&lt;&gt;"",F123*H123,"")</f>
        <v/>
      </c>
      <c r="J123" s="0" t="str">
        <f aca="false">IF(F123&lt;&gt;"",F123*G123,"")</f>
        <v/>
      </c>
      <c r="K123" s="0" t="str">
        <f aca="false">IF(J123&lt;&gt;"",I123-J123,"")</f>
        <v/>
      </c>
      <c r="L123" s="0" t="str">
        <f aca="false">IF(AND(J123&lt;&gt;"",J123&lt;&gt;0),K123/J123,"")</f>
        <v/>
      </c>
      <c r="M123" s="0" t="str">
        <f aca="false">IF(I123&lt;&gt;"",IF(SUM($I$2:$I$200)&lt;&gt;0,I123/SUM($I$2:$I$200),""),"")</f>
        <v/>
      </c>
    </row>
    <row r="124" customFormat="false" ht="15" hidden="false" customHeight="false" outlineLevel="0" collapsed="false">
      <c r="H124" s="0" t="str">
        <f aca="false">IF(A124&lt;&gt;"",googlefinance(A124,"price"),"")</f>
        <v/>
      </c>
      <c r="I124" s="0" t="str">
        <f aca="false">IF(F124&lt;&gt;"",F124*H124,"")</f>
        <v/>
      </c>
      <c r="J124" s="0" t="str">
        <f aca="false">IF(F124&lt;&gt;"",F124*G124,"")</f>
        <v/>
      </c>
      <c r="K124" s="0" t="str">
        <f aca="false">IF(J124&lt;&gt;"",I124-J124,"")</f>
        <v/>
      </c>
      <c r="L124" s="0" t="str">
        <f aca="false">IF(AND(J124&lt;&gt;"",J124&lt;&gt;0),K124/J124,"")</f>
        <v/>
      </c>
      <c r="M124" s="0" t="str">
        <f aca="false">IF(I124&lt;&gt;"",IF(SUM($I$2:$I$200)&lt;&gt;0,I124/SUM($I$2:$I$200),""),"")</f>
        <v/>
      </c>
    </row>
    <row r="125" customFormat="false" ht="15" hidden="false" customHeight="false" outlineLevel="0" collapsed="false">
      <c r="H125" s="0" t="str">
        <f aca="false">IF(A125&lt;&gt;"",googlefinance(A125,"price"),"")</f>
        <v/>
      </c>
      <c r="I125" s="0" t="str">
        <f aca="false">IF(F125&lt;&gt;"",F125*H125,"")</f>
        <v/>
      </c>
      <c r="J125" s="0" t="str">
        <f aca="false">IF(F125&lt;&gt;"",F125*G125,"")</f>
        <v/>
      </c>
      <c r="K125" s="0" t="str">
        <f aca="false">IF(J125&lt;&gt;"",I125-J125,"")</f>
        <v/>
      </c>
      <c r="L125" s="0" t="str">
        <f aca="false">IF(AND(J125&lt;&gt;"",J125&lt;&gt;0),K125/J125,"")</f>
        <v/>
      </c>
      <c r="M125" s="0" t="str">
        <f aca="false">IF(I125&lt;&gt;"",IF(SUM($I$2:$I$200)&lt;&gt;0,I125/SUM($I$2:$I$200),""),"")</f>
        <v/>
      </c>
    </row>
    <row r="126" customFormat="false" ht="15" hidden="false" customHeight="false" outlineLevel="0" collapsed="false">
      <c r="H126" s="0" t="str">
        <f aca="false">IF(A126&lt;&gt;"",googlefinance(A126,"price"),"")</f>
        <v/>
      </c>
      <c r="I126" s="0" t="str">
        <f aca="false">IF(F126&lt;&gt;"",F126*H126,"")</f>
        <v/>
      </c>
      <c r="J126" s="0" t="str">
        <f aca="false">IF(F126&lt;&gt;"",F126*G126,"")</f>
        <v/>
      </c>
      <c r="K126" s="0" t="str">
        <f aca="false">IF(J126&lt;&gt;"",I126-J126,"")</f>
        <v/>
      </c>
      <c r="L126" s="0" t="str">
        <f aca="false">IF(AND(J126&lt;&gt;"",J126&lt;&gt;0),K126/J126,"")</f>
        <v/>
      </c>
      <c r="M126" s="0" t="str">
        <f aca="false">IF(I126&lt;&gt;"",IF(SUM($I$2:$I$200)&lt;&gt;0,I126/SUM($I$2:$I$200),""),"")</f>
        <v/>
      </c>
    </row>
    <row r="127" customFormat="false" ht="15" hidden="false" customHeight="false" outlineLevel="0" collapsed="false">
      <c r="H127" s="0" t="str">
        <f aca="false">IF(A127&lt;&gt;"",googlefinance(A127,"price"),"")</f>
        <v/>
      </c>
      <c r="I127" s="0" t="str">
        <f aca="false">IF(F127&lt;&gt;"",F127*H127,"")</f>
        <v/>
      </c>
      <c r="J127" s="0" t="str">
        <f aca="false">IF(F127&lt;&gt;"",F127*G127,"")</f>
        <v/>
      </c>
      <c r="K127" s="0" t="str">
        <f aca="false">IF(J127&lt;&gt;"",I127-J127,"")</f>
        <v/>
      </c>
      <c r="L127" s="0" t="str">
        <f aca="false">IF(AND(J127&lt;&gt;"",J127&lt;&gt;0),K127/J127,"")</f>
        <v/>
      </c>
      <c r="M127" s="0" t="str">
        <f aca="false">IF(I127&lt;&gt;"",IF(SUM($I$2:$I$200)&lt;&gt;0,I127/SUM($I$2:$I$200),""),"")</f>
        <v/>
      </c>
    </row>
    <row r="128" customFormat="false" ht="15" hidden="false" customHeight="false" outlineLevel="0" collapsed="false">
      <c r="H128" s="0" t="str">
        <f aca="false">IF(A128&lt;&gt;"",googlefinance(A128,"price"),"")</f>
        <v/>
      </c>
      <c r="I128" s="0" t="str">
        <f aca="false">IF(F128&lt;&gt;"",F128*H128,"")</f>
        <v/>
      </c>
      <c r="J128" s="0" t="str">
        <f aca="false">IF(F128&lt;&gt;"",F128*G128,"")</f>
        <v/>
      </c>
      <c r="K128" s="0" t="str">
        <f aca="false">IF(J128&lt;&gt;"",I128-J128,"")</f>
        <v/>
      </c>
      <c r="L128" s="0" t="str">
        <f aca="false">IF(AND(J128&lt;&gt;"",J128&lt;&gt;0),K128/J128,"")</f>
        <v/>
      </c>
      <c r="M128" s="0" t="str">
        <f aca="false">IF(I128&lt;&gt;"",IF(SUM($I$2:$I$200)&lt;&gt;0,I128/SUM($I$2:$I$200),""),"")</f>
        <v/>
      </c>
    </row>
    <row r="129" customFormat="false" ht="15" hidden="false" customHeight="false" outlineLevel="0" collapsed="false">
      <c r="H129" s="0" t="str">
        <f aca="false">IF(A129&lt;&gt;"",googlefinance(A129,"price"),"")</f>
        <v/>
      </c>
      <c r="I129" s="0" t="str">
        <f aca="false">IF(F129&lt;&gt;"",F129*H129,"")</f>
        <v/>
      </c>
      <c r="J129" s="0" t="str">
        <f aca="false">IF(F129&lt;&gt;"",F129*G129,"")</f>
        <v/>
      </c>
      <c r="K129" s="0" t="str">
        <f aca="false">IF(J129&lt;&gt;"",I129-J129,"")</f>
        <v/>
      </c>
      <c r="L129" s="0" t="str">
        <f aca="false">IF(AND(J129&lt;&gt;"",J129&lt;&gt;0),K129/J129,"")</f>
        <v/>
      </c>
      <c r="M129" s="0" t="str">
        <f aca="false">IF(I129&lt;&gt;"",IF(SUM($I$2:$I$200)&lt;&gt;0,I129/SUM($I$2:$I$200),""),"")</f>
        <v/>
      </c>
    </row>
    <row r="130" customFormat="false" ht="15" hidden="false" customHeight="false" outlineLevel="0" collapsed="false">
      <c r="H130" s="0" t="str">
        <f aca="false">IF(A130&lt;&gt;"",googlefinance(A130,"price"),"")</f>
        <v/>
      </c>
      <c r="I130" s="0" t="str">
        <f aca="false">IF(F130&lt;&gt;"",F130*H130,"")</f>
        <v/>
      </c>
      <c r="J130" s="0" t="str">
        <f aca="false">IF(F130&lt;&gt;"",F130*G130,"")</f>
        <v/>
      </c>
      <c r="K130" s="0" t="str">
        <f aca="false">IF(J130&lt;&gt;"",I130-J130,"")</f>
        <v/>
      </c>
      <c r="L130" s="0" t="str">
        <f aca="false">IF(AND(J130&lt;&gt;"",J130&lt;&gt;0),K130/J130,"")</f>
        <v/>
      </c>
      <c r="M130" s="0" t="str">
        <f aca="false">IF(I130&lt;&gt;"",IF(SUM($I$2:$I$200)&lt;&gt;0,I130/SUM($I$2:$I$200),""),"")</f>
        <v/>
      </c>
    </row>
    <row r="131" customFormat="false" ht="15" hidden="false" customHeight="false" outlineLevel="0" collapsed="false">
      <c r="H131" s="0" t="str">
        <f aca="false">IF(A131&lt;&gt;"",googlefinance(A131,"price"),"")</f>
        <v/>
      </c>
      <c r="I131" s="0" t="str">
        <f aca="false">IF(F131&lt;&gt;"",F131*H131,"")</f>
        <v/>
      </c>
      <c r="J131" s="0" t="str">
        <f aca="false">IF(F131&lt;&gt;"",F131*G131,"")</f>
        <v/>
      </c>
      <c r="K131" s="0" t="str">
        <f aca="false">IF(J131&lt;&gt;"",I131-J131,"")</f>
        <v/>
      </c>
      <c r="L131" s="0" t="str">
        <f aca="false">IF(AND(J131&lt;&gt;"",J131&lt;&gt;0),K131/J131,"")</f>
        <v/>
      </c>
      <c r="M131" s="0" t="str">
        <f aca="false">IF(I131&lt;&gt;"",IF(SUM($I$2:$I$200)&lt;&gt;0,I131/SUM($I$2:$I$200),""),"")</f>
        <v/>
      </c>
    </row>
    <row r="132" customFormat="false" ht="15" hidden="false" customHeight="false" outlineLevel="0" collapsed="false">
      <c r="H132" s="0" t="str">
        <f aca="false">IF(A132&lt;&gt;"",googlefinance(A132,"price"),"")</f>
        <v/>
      </c>
      <c r="I132" s="0" t="str">
        <f aca="false">IF(F132&lt;&gt;"",F132*H132,"")</f>
        <v/>
      </c>
      <c r="J132" s="0" t="str">
        <f aca="false">IF(F132&lt;&gt;"",F132*G132,"")</f>
        <v/>
      </c>
      <c r="K132" s="0" t="str">
        <f aca="false">IF(J132&lt;&gt;"",I132-J132,"")</f>
        <v/>
      </c>
      <c r="L132" s="0" t="str">
        <f aca="false">IF(AND(J132&lt;&gt;"",J132&lt;&gt;0),K132/J132,"")</f>
        <v/>
      </c>
      <c r="M132" s="0" t="str">
        <f aca="false">IF(I132&lt;&gt;"",IF(SUM($I$2:$I$200)&lt;&gt;0,I132/SUM($I$2:$I$200),""),"")</f>
        <v/>
      </c>
    </row>
    <row r="133" customFormat="false" ht="15" hidden="false" customHeight="false" outlineLevel="0" collapsed="false">
      <c r="H133" s="0" t="str">
        <f aca="false">IF(A133&lt;&gt;"",googlefinance(A133,"price"),"")</f>
        <v/>
      </c>
      <c r="I133" s="0" t="str">
        <f aca="false">IF(F133&lt;&gt;"",F133*H133,"")</f>
        <v/>
      </c>
      <c r="J133" s="0" t="str">
        <f aca="false">IF(F133&lt;&gt;"",F133*G133,"")</f>
        <v/>
      </c>
      <c r="K133" s="0" t="str">
        <f aca="false">IF(J133&lt;&gt;"",I133-J133,"")</f>
        <v/>
      </c>
      <c r="L133" s="0" t="str">
        <f aca="false">IF(AND(J133&lt;&gt;"",J133&lt;&gt;0),K133/J133,"")</f>
        <v/>
      </c>
      <c r="M133" s="0" t="str">
        <f aca="false">IF(I133&lt;&gt;"",IF(SUM($I$2:$I$200)&lt;&gt;0,I133/SUM($I$2:$I$200),""),"")</f>
        <v/>
      </c>
    </row>
    <row r="134" customFormat="false" ht="15" hidden="false" customHeight="false" outlineLevel="0" collapsed="false">
      <c r="H134" s="0" t="str">
        <f aca="false">IF(A134&lt;&gt;"",googlefinance(A134,"price"),"")</f>
        <v/>
      </c>
      <c r="I134" s="0" t="str">
        <f aca="false">IF(F134&lt;&gt;"",F134*H134,"")</f>
        <v/>
      </c>
      <c r="J134" s="0" t="str">
        <f aca="false">IF(F134&lt;&gt;"",F134*G134,"")</f>
        <v/>
      </c>
      <c r="K134" s="0" t="str">
        <f aca="false">IF(J134&lt;&gt;"",I134-J134,"")</f>
        <v/>
      </c>
      <c r="L134" s="0" t="str">
        <f aca="false">IF(AND(J134&lt;&gt;"",J134&lt;&gt;0),K134/J134,"")</f>
        <v/>
      </c>
      <c r="M134" s="0" t="str">
        <f aca="false">IF(I134&lt;&gt;"",IF(SUM($I$2:$I$200)&lt;&gt;0,I134/SUM($I$2:$I$200),""),"")</f>
        <v/>
      </c>
    </row>
    <row r="135" customFormat="false" ht="15" hidden="false" customHeight="false" outlineLevel="0" collapsed="false">
      <c r="H135" s="0" t="str">
        <f aca="false">IF(A135&lt;&gt;"",googlefinance(A135,"price"),"")</f>
        <v/>
      </c>
      <c r="I135" s="0" t="str">
        <f aca="false">IF(F135&lt;&gt;"",F135*H135,"")</f>
        <v/>
      </c>
      <c r="J135" s="0" t="str">
        <f aca="false">IF(F135&lt;&gt;"",F135*G135,"")</f>
        <v/>
      </c>
      <c r="K135" s="0" t="str">
        <f aca="false">IF(J135&lt;&gt;"",I135-J135,"")</f>
        <v/>
      </c>
      <c r="L135" s="0" t="str">
        <f aca="false">IF(AND(J135&lt;&gt;"",J135&lt;&gt;0),K135/J135,"")</f>
        <v/>
      </c>
      <c r="M135" s="0" t="str">
        <f aca="false">IF(I135&lt;&gt;"",IF(SUM($I$2:$I$200)&lt;&gt;0,I135/SUM($I$2:$I$200),""),"")</f>
        <v/>
      </c>
    </row>
    <row r="136" customFormat="false" ht="15" hidden="false" customHeight="false" outlineLevel="0" collapsed="false">
      <c r="H136" s="0" t="str">
        <f aca="false">IF(A136&lt;&gt;"",googlefinance(A136,"price"),"")</f>
        <v/>
      </c>
      <c r="I136" s="0" t="str">
        <f aca="false">IF(F136&lt;&gt;"",F136*H136,"")</f>
        <v/>
      </c>
      <c r="J136" s="0" t="str">
        <f aca="false">IF(F136&lt;&gt;"",F136*G136,"")</f>
        <v/>
      </c>
      <c r="K136" s="0" t="str">
        <f aca="false">IF(J136&lt;&gt;"",I136-J136,"")</f>
        <v/>
      </c>
      <c r="L136" s="0" t="str">
        <f aca="false">IF(AND(J136&lt;&gt;"",J136&lt;&gt;0),K136/J136,"")</f>
        <v/>
      </c>
      <c r="M136" s="0" t="str">
        <f aca="false">IF(I136&lt;&gt;"",IF(SUM($I$2:$I$200)&lt;&gt;0,I136/SUM($I$2:$I$200),""),"")</f>
        <v/>
      </c>
    </row>
    <row r="137" customFormat="false" ht="15" hidden="false" customHeight="false" outlineLevel="0" collapsed="false">
      <c r="H137" s="0" t="str">
        <f aca="false">IF(A137&lt;&gt;"",googlefinance(A137,"price"),"")</f>
        <v/>
      </c>
      <c r="I137" s="0" t="str">
        <f aca="false">IF(F137&lt;&gt;"",F137*H137,"")</f>
        <v/>
      </c>
      <c r="J137" s="0" t="str">
        <f aca="false">IF(F137&lt;&gt;"",F137*G137,"")</f>
        <v/>
      </c>
      <c r="K137" s="0" t="str">
        <f aca="false">IF(J137&lt;&gt;"",I137-J137,"")</f>
        <v/>
      </c>
      <c r="L137" s="0" t="str">
        <f aca="false">IF(AND(J137&lt;&gt;"",J137&lt;&gt;0),K137/J137,"")</f>
        <v/>
      </c>
      <c r="M137" s="0" t="str">
        <f aca="false">IF(I137&lt;&gt;"",IF(SUM($I$2:$I$200)&lt;&gt;0,I137/SUM($I$2:$I$200),""),"")</f>
        <v/>
      </c>
    </row>
    <row r="138" customFormat="false" ht="15" hidden="false" customHeight="false" outlineLevel="0" collapsed="false">
      <c r="H138" s="0" t="str">
        <f aca="false">IF(A138&lt;&gt;"",googlefinance(A138,"price"),"")</f>
        <v/>
      </c>
      <c r="I138" s="0" t="str">
        <f aca="false">IF(F138&lt;&gt;"",F138*H138,"")</f>
        <v/>
      </c>
      <c r="J138" s="0" t="str">
        <f aca="false">IF(F138&lt;&gt;"",F138*G138,"")</f>
        <v/>
      </c>
      <c r="K138" s="0" t="str">
        <f aca="false">IF(J138&lt;&gt;"",I138-J138,"")</f>
        <v/>
      </c>
      <c r="L138" s="0" t="str">
        <f aca="false">IF(AND(J138&lt;&gt;"",J138&lt;&gt;0),K138/J138,"")</f>
        <v/>
      </c>
      <c r="M138" s="0" t="str">
        <f aca="false">IF(I138&lt;&gt;"",IF(SUM($I$2:$I$200)&lt;&gt;0,I138/SUM($I$2:$I$200),""),"")</f>
        <v/>
      </c>
    </row>
    <row r="139" customFormat="false" ht="15" hidden="false" customHeight="false" outlineLevel="0" collapsed="false">
      <c r="H139" s="0" t="str">
        <f aca="false">IF(A139&lt;&gt;"",googlefinance(A139,"price"),"")</f>
        <v/>
      </c>
      <c r="I139" s="0" t="str">
        <f aca="false">IF(F139&lt;&gt;"",F139*H139,"")</f>
        <v/>
      </c>
      <c r="J139" s="0" t="str">
        <f aca="false">IF(F139&lt;&gt;"",F139*G139,"")</f>
        <v/>
      </c>
      <c r="K139" s="0" t="str">
        <f aca="false">IF(J139&lt;&gt;"",I139-J139,"")</f>
        <v/>
      </c>
      <c r="L139" s="0" t="str">
        <f aca="false">IF(AND(J139&lt;&gt;"",J139&lt;&gt;0),K139/J139,"")</f>
        <v/>
      </c>
      <c r="M139" s="0" t="str">
        <f aca="false">IF(I139&lt;&gt;"",IF(SUM($I$2:$I$200)&lt;&gt;0,I139/SUM($I$2:$I$200),""),"")</f>
        <v/>
      </c>
    </row>
    <row r="140" customFormat="false" ht="15" hidden="false" customHeight="false" outlineLevel="0" collapsed="false">
      <c r="H140" s="0" t="str">
        <f aca="false">IF(A140&lt;&gt;"",googlefinance(A140,"price"),"")</f>
        <v/>
      </c>
      <c r="I140" s="0" t="str">
        <f aca="false">IF(F140&lt;&gt;"",F140*H140,"")</f>
        <v/>
      </c>
      <c r="J140" s="0" t="str">
        <f aca="false">IF(F140&lt;&gt;"",F140*G140,"")</f>
        <v/>
      </c>
      <c r="K140" s="0" t="str">
        <f aca="false">IF(J140&lt;&gt;"",I140-J140,"")</f>
        <v/>
      </c>
      <c r="L140" s="0" t="str">
        <f aca="false">IF(AND(J140&lt;&gt;"",J140&lt;&gt;0),K140/J140,"")</f>
        <v/>
      </c>
      <c r="M140" s="0" t="str">
        <f aca="false">IF(I140&lt;&gt;"",IF(SUM($I$2:$I$200)&lt;&gt;0,I140/SUM($I$2:$I$200),""),"")</f>
        <v/>
      </c>
    </row>
    <row r="141" customFormat="false" ht="15" hidden="false" customHeight="false" outlineLevel="0" collapsed="false">
      <c r="H141" s="0" t="str">
        <f aca="false">IF(A141&lt;&gt;"",googlefinance(A141,"price"),"")</f>
        <v/>
      </c>
      <c r="I141" s="0" t="str">
        <f aca="false">IF(F141&lt;&gt;"",F141*H141,"")</f>
        <v/>
      </c>
      <c r="J141" s="0" t="str">
        <f aca="false">IF(F141&lt;&gt;"",F141*G141,"")</f>
        <v/>
      </c>
      <c r="K141" s="0" t="str">
        <f aca="false">IF(J141&lt;&gt;"",I141-J141,"")</f>
        <v/>
      </c>
      <c r="L141" s="0" t="str">
        <f aca="false">IF(AND(J141&lt;&gt;"",J141&lt;&gt;0),K141/J141,"")</f>
        <v/>
      </c>
      <c r="M141" s="0" t="str">
        <f aca="false">IF(I141&lt;&gt;"",IF(SUM($I$2:$I$200)&lt;&gt;0,I141/SUM($I$2:$I$200),""),"")</f>
        <v/>
      </c>
    </row>
    <row r="142" customFormat="false" ht="15" hidden="false" customHeight="false" outlineLevel="0" collapsed="false">
      <c r="H142" s="0" t="str">
        <f aca="false">IF(A142&lt;&gt;"",googlefinance(A142,"price"),"")</f>
        <v/>
      </c>
      <c r="I142" s="0" t="str">
        <f aca="false">IF(F142&lt;&gt;"",F142*H142,"")</f>
        <v/>
      </c>
      <c r="J142" s="0" t="str">
        <f aca="false">IF(F142&lt;&gt;"",F142*G142,"")</f>
        <v/>
      </c>
      <c r="K142" s="0" t="str">
        <f aca="false">IF(J142&lt;&gt;"",I142-J142,"")</f>
        <v/>
      </c>
      <c r="L142" s="0" t="str">
        <f aca="false">IF(AND(J142&lt;&gt;"",J142&lt;&gt;0),K142/J142,"")</f>
        <v/>
      </c>
      <c r="M142" s="0" t="str">
        <f aca="false">IF(I142&lt;&gt;"",IF(SUM($I$2:$I$200)&lt;&gt;0,I142/SUM($I$2:$I$200),""),"")</f>
        <v/>
      </c>
    </row>
    <row r="143" customFormat="false" ht="15" hidden="false" customHeight="false" outlineLevel="0" collapsed="false">
      <c r="H143" s="0" t="str">
        <f aca="false">IF(A143&lt;&gt;"",googlefinance(A143,"price"),"")</f>
        <v/>
      </c>
      <c r="I143" s="0" t="str">
        <f aca="false">IF(F143&lt;&gt;"",F143*H143,"")</f>
        <v/>
      </c>
      <c r="J143" s="0" t="str">
        <f aca="false">IF(F143&lt;&gt;"",F143*G143,"")</f>
        <v/>
      </c>
      <c r="K143" s="0" t="str">
        <f aca="false">IF(J143&lt;&gt;"",I143-J143,"")</f>
        <v/>
      </c>
      <c r="L143" s="0" t="str">
        <f aca="false">IF(AND(J143&lt;&gt;"",J143&lt;&gt;0),K143/J143,"")</f>
        <v/>
      </c>
      <c r="M143" s="0" t="str">
        <f aca="false">IF(I143&lt;&gt;"",IF(SUM($I$2:$I$200)&lt;&gt;0,I143/SUM($I$2:$I$200),""),"")</f>
        <v/>
      </c>
    </row>
    <row r="144" customFormat="false" ht="15" hidden="false" customHeight="false" outlineLevel="0" collapsed="false">
      <c r="H144" s="0" t="str">
        <f aca="false">IF(A144&lt;&gt;"",googlefinance(A144,"price"),"")</f>
        <v/>
      </c>
      <c r="I144" s="0" t="str">
        <f aca="false">IF(F144&lt;&gt;"",F144*H144,"")</f>
        <v/>
      </c>
      <c r="J144" s="0" t="str">
        <f aca="false">IF(F144&lt;&gt;"",F144*G144,"")</f>
        <v/>
      </c>
      <c r="K144" s="0" t="str">
        <f aca="false">IF(J144&lt;&gt;"",I144-J144,"")</f>
        <v/>
      </c>
      <c r="L144" s="0" t="str">
        <f aca="false">IF(AND(J144&lt;&gt;"",J144&lt;&gt;0),K144/J144,"")</f>
        <v/>
      </c>
      <c r="M144" s="0" t="str">
        <f aca="false">IF(I144&lt;&gt;"",IF(SUM($I$2:$I$200)&lt;&gt;0,I144/SUM($I$2:$I$200),""),"")</f>
        <v/>
      </c>
    </row>
    <row r="145" customFormat="false" ht="15" hidden="false" customHeight="false" outlineLevel="0" collapsed="false">
      <c r="H145" s="0" t="str">
        <f aca="false">IF(A145&lt;&gt;"",googlefinance(A145,"price"),"")</f>
        <v/>
      </c>
      <c r="I145" s="0" t="str">
        <f aca="false">IF(F145&lt;&gt;"",F145*H145,"")</f>
        <v/>
      </c>
      <c r="J145" s="0" t="str">
        <f aca="false">IF(F145&lt;&gt;"",F145*G145,"")</f>
        <v/>
      </c>
      <c r="K145" s="0" t="str">
        <f aca="false">IF(J145&lt;&gt;"",I145-J145,"")</f>
        <v/>
      </c>
      <c r="L145" s="0" t="str">
        <f aca="false">IF(AND(J145&lt;&gt;"",J145&lt;&gt;0),K145/J145,"")</f>
        <v/>
      </c>
      <c r="M145" s="0" t="str">
        <f aca="false">IF(I145&lt;&gt;"",IF(SUM($I$2:$I$200)&lt;&gt;0,I145/SUM($I$2:$I$200),""),"")</f>
        <v/>
      </c>
    </row>
    <row r="146" customFormat="false" ht="15" hidden="false" customHeight="false" outlineLevel="0" collapsed="false">
      <c r="H146" s="0" t="str">
        <f aca="false">IF(A146&lt;&gt;"",googlefinance(A146,"price"),"")</f>
        <v/>
      </c>
      <c r="I146" s="0" t="str">
        <f aca="false">IF(F146&lt;&gt;"",F146*H146,"")</f>
        <v/>
      </c>
      <c r="J146" s="0" t="str">
        <f aca="false">IF(F146&lt;&gt;"",F146*G146,"")</f>
        <v/>
      </c>
      <c r="K146" s="0" t="str">
        <f aca="false">IF(J146&lt;&gt;"",I146-J146,"")</f>
        <v/>
      </c>
      <c r="L146" s="0" t="str">
        <f aca="false">IF(AND(J146&lt;&gt;"",J146&lt;&gt;0),K146/J146,"")</f>
        <v/>
      </c>
      <c r="M146" s="0" t="str">
        <f aca="false">IF(I146&lt;&gt;"",IF(SUM($I$2:$I$200)&lt;&gt;0,I146/SUM($I$2:$I$200),""),"")</f>
        <v/>
      </c>
    </row>
    <row r="147" customFormat="false" ht="15" hidden="false" customHeight="false" outlineLevel="0" collapsed="false">
      <c r="H147" s="0" t="str">
        <f aca="false">IF(A147&lt;&gt;"",googlefinance(A147,"price"),"")</f>
        <v/>
      </c>
      <c r="I147" s="0" t="str">
        <f aca="false">IF(F147&lt;&gt;"",F147*H147,"")</f>
        <v/>
      </c>
      <c r="J147" s="0" t="str">
        <f aca="false">IF(F147&lt;&gt;"",F147*G147,"")</f>
        <v/>
      </c>
      <c r="K147" s="0" t="str">
        <f aca="false">IF(J147&lt;&gt;"",I147-J147,"")</f>
        <v/>
      </c>
      <c r="L147" s="0" t="str">
        <f aca="false">IF(AND(J147&lt;&gt;"",J147&lt;&gt;0),K147/J147,"")</f>
        <v/>
      </c>
      <c r="M147" s="0" t="str">
        <f aca="false">IF(I147&lt;&gt;"",IF(SUM($I$2:$I$200)&lt;&gt;0,I147/SUM($I$2:$I$200),""),"")</f>
        <v/>
      </c>
    </row>
    <row r="148" customFormat="false" ht="15" hidden="false" customHeight="false" outlineLevel="0" collapsed="false">
      <c r="H148" s="0" t="str">
        <f aca="false">IF(A148&lt;&gt;"",googlefinance(A148,"price"),"")</f>
        <v/>
      </c>
      <c r="I148" s="0" t="str">
        <f aca="false">IF(F148&lt;&gt;"",F148*H148,"")</f>
        <v/>
      </c>
      <c r="J148" s="0" t="str">
        <f aca="false">IF(F148&lt;&gt;"",F148*G148,"")</f>
        <v/>
      </c>
      <c r="K148" s="0" t="str">
        <f aca="false">IF(J148&lt;&gt;"",I148-J148,"")</f>
        <v/>
      </c>
      <c r="L148" s="0" t="str">
        <f aca="false">IF(AND(J148&lt;&gt;"",J148&lt;&gt;0),K148/J148,"")</f>
        <v/>
      </c>
      <c r="M148" s="0" t="str">
        <f aca="false">IF(I148&lt;&gt;"",IF(SUM($I$2:$I$200)&lt;&gt;0,I148/SUM($I$2:$I$200),""),"")</f>
        <v/>
      </c>
    </row>
    <row r="149" customFormat="false" ht="15" hidden="false" customHeight="false" outlineLevel="0" collapsed="false">
      <c r="H149" s="0" t="str">
        <f aca="false">IF(A149&lt;&gt;"",googlefinance(A149,"price"),"")</f>
        <v/>
      </c>
      <c r="I149" s="0" t="str">
        <f aca="false">IF(F149&lt;&gt;"",F149*H149,"")</f>
        <v/>
      </c>
      <c r="J149" s="0" t="str">
        <f aca="false">IF(F149&lt;&gt;"",F149*G149,"")</f>
        <v/>
      </c>
      <c r="K149" s="0" t="str">
        <f aca="false">IF(J149&lt;&gt;"",I149-J149,"")</f>
        <v/>
      </c>
      <c r="L149" s="0" t="str">
        <f aca="false">IF(AND(J149&lt;&gt;"",J149&lt;&gt;0),K149/J149,"")</f>
        <v/>
      </c>
      <c r="M149" s="0" t="str">
        <f aca="false">IF(I149&lt;&gt;"",IF(SUM($I$2:$I$200)&lt;&gt;0,I149/SUM($I$2:$I$200),""),"")</f>
        <v/>
      </c>
    </row>
    <row r="150" customFormat="false" ht="15" hidden="false" customHeight="false" outlineLevel="0" collapsed="false">
      <c r="H150" s="0" t="str">
        <f aca="false">IF(A150&lt;&gt;"",googlefinance(A150,"price"),"")</f>
        <v/>
      </c>
      <c r="I150" s="0" t="str">
        <f aca="false">IF(F150&lt;&gt;"",F150*H150,"")</f>
        <v/>
      </c>
      <c r="J150" s="0" t="str">
        <f aca="false">IF(F150&lt;&gt;"",F150*G150,"")</f>
        <v/>
      </c>
      <c r="K150" s="0" t="str">
        <f aca="false">IF(J150&lt;&gt;"",I150-J150,"")</f>
        <v/>
      </c>
      <c r="L150" s="0" t="str">
        <f aca="false">IF(AND(J150&lt;&gt;"",J150&lt;&gt;0),K150/J150,"")</f>
        <v/>
      </c>
      <c r="M150" s="0" t="str">
        <f aca="false">IF(I150&lt;&gt;"",IF(SUM($I$2:$I$200)&lt;&gt;0,I150/SUM($I$2:$I$200),""),"")</f>
        <v/>
      </c>
    </row>
    <row r="151" customFormat="false" ht="15" hidden="false" customHeight="false" outlineLevel="0" collapsed="false">
      <c r="H151" s="0" t="str">
        <f aca="false">IF(A151&lt;&gt;"",googlefinance(A151,"price"),"")</f>
        <v/>
      </c>
      <c r="I151" s="0" t="str">
        <f aca="false">IF(F151&lt;&gt;"",F151*H151,"")</f>
        <v/>
      </c>
      <c r="J151" s="0" t="str">
        <f aca="false">IF(F151&lt;&gt;"",F151*G151,"")</f>
        <v/>
      </c>
      <c r="K151" s="0" t="str">
        <f aca="false">IF(J151&lt;&gt;"",I151-J151,"")</f>
        <v/>
      </c>
      <c r="L151" s="0" t="str">
        <f aca="false">IF(AND(J151&lt;&gt;"",J151&lt;&gt;0),K151/J151,"")</f>
        <v/>
      </c>
      <c r="M151" s="0" t="str">
        <f aca="false">IF(I151&lt;&gt;"",IF(SUM($I$2:$I$200)&lt;&gt;0,I151/SUM($I$2:$I$200),""),"")</f>
        <v/>
      </c>
    </row>
    <row r="152" customFormat="false" ht="15" hidden="false" customHeight="false" outlineLevel="0" collapsed="false">
      <c r="H152" s="0" t="str">
        <f aca="false">IF(A152&lt;&gt;"",googlefinance(A152,"price"),"")</f>
        <v/>
      </c>
      <c r="I152" s="0" t="str">
        <f aca="false">IF(F152&lt;&gt;"",F152*H152,"")</f>
        <v/>
      </c>
      <c r="J152" s="0" t="str">
        <f aca="false">IF(F152&lt;&gt;"",F152*G152,"")</f>
        <v/>
      </c>
      <c r="K152" s="0" t="str">
        <f aca="false">IF(J152&lt;&gt;"",I152-J152,"")</f>
        <v/>
      </c>
      <c r="L152" s="0" t="str">
        <f aca="false">IF(AND(J152&lt;&gt;"",J152&lt;&gt;0),K152/J152,"")</f>
        <v/>
      </c>
      <c r="M152" s="0" t="str">
        <f aca="false">IF(I152&lt;&gt;"",IF(SUM($I$2:$I$200)&lt;&gt;0,I152/SUM($I$2:$I$200),""),"")</f>
        <v/>
      </c>
    </row>
    <row r="153" customFormat="false" ht="15" hidden="false" customHeight="false" outlineLevel="0" collapsed="false">
      <c r="H153" s="0" t="str">
        <f aca="false">IF(A153&lt;&gt;"",googlefinance(A153,"price"),"")</f>
        <v/>
      </c>
      <c r="I153" s="0" t="str">
        <f aca="false">IF(F153&lt;&gt;"",F153*H153,"")</f>
        <v/>
      </c>
      <c r="J153" s="0" t="str">
        <f aca="false">IF(F153&lt;&gt;"",F153*G153,"")</f>
        <v/>
      </c>
      <c r="K153" s="0" t="str">
        <f aca="false">IF(J153&lt;&gt;"",I153-J153,"")</f>
        <v/>
      </c>
      <c r="L153" s="0" t="str">
        <f aca="false">IF(AND(J153&lt;&gt;"",J153&lt;&gt;0),K153/J153,"")</f>
        <v/>
      </c>
      <c r="M153" s="0" t="str">
        <f aca="false">IF(I153&lt;&gt;"",IF(SUM($I$2:$I$200)&lt;&gt;0,I153/SUM($I$2:$I$200),""),"")</f>
        <v/>
      </c>
    </row>
    <row r="154" customFormat="false" ht="15" hidden="false" customHeight="false" outlineLevel="0" collapsed="false">
      <c r="H154" s="0" t="str">
        <f aca="false">IF(A154&lt;&gt;"",googlefinance(A154,"price"),"")</f>
        <v/>
      </c>
      <c r="I154" s="0" t="str">
        <f aca="false">IF(F154&lt;&gt;"",F154*H154,"")</f>
        <v/>
      </c>
      <c r="J154" s="0" t="str">
        <f aca="false">IF(F154&lt;&gt;"",F154*G154,"")</f>
        <v/>
      </c>
      <c r="K154" s="0" t="str">
        <f aca="false">IF(J154&lt;&gt;"",I154-J154,"")</f>
        <v/>
      </c>
      <c r="L154" s="0" t="str">
        <f aca="false">IF(AND(J154&lt;&gt;"",J154&lt;&gt;0),K154/J154,"")</f>
        <v/>
      </c>
      <c r="M154" s="0" t="str">
        <f aca="false">IF(I154&lt;&gt;"",IF(SUM($I$2:$I$200)&lt;&gt;0,I154/SUM($I$2:$I$200),""),"")</f>
        <v/>
      </c>
    </row>
    <row r="155" customFormat="false" ht="15" hidden="false" customHeight="false" outlineLevel="0" collapsed="false">
      <c r="H155" s="0" t="str">
        <f aca="false">IF(A155&lt;&gt;"",googlefinance(A155,"price"),"")</f>
        <v/>
      </c>
      <c r="I155" s="0" t="str">
        <f aca="false">IF(F155&lt;&gt;"",F155*H155,"")</f>
        <v/>
      </c>
      <c r="J155" s="0" t="str">
        <f aca="false">IF(F155&lt;&gt;"",F155*G155,"")</f>
        <v/>
      </c>
      <c r="K155" s="0" t="str">
        <f aca="false">IF(J155&lt;&gt;"",I155-J155,"")</f>
        <v/>
      </c>
      <c r="L155" s="0" t="str">
        <f aca="false">IF(AND(J155&lt;&gt;"",J155&lt;&gt;0),K155/J155,"")</f>
        <v/>
      </c>
      <c r="M155" s="0" t="str">
        <f aca="false">IF(I155&lt;&gt;"",IF(SUM($I$2:$I$200)&lt;&gt;0,I155/SUM($I$2:$I$200),""),"")</f>
        <v/>
      </c>
    </row>
    <row r="156" customFormat="false" ht="15" hidden="false" customHeight="false" outlineLevel="0" collapsed="false">
      <c r="H156" s="0" t="str">
        <f aca="false">IF(A156&lt;&gt;"",googlefinance(A156,"price"),"")</f>
        <v/>
      </c>
      <c r="I156" s="0" t="str">
        <f aca="false">IF(F156&lt;&gt;"",F156*H156,"")</f>
        <v/>
      </c>
      <c r="J156" s="0" t="str">
        <f aca="false">IF(F156&lt;&gt;"",F156*G156,"")</f>
        <v/>
      </c>
      <c r="K156" s="0" t="str">
        <f aca="false">IF(J156&lt;&gt;"",I156-J156,"")</f>
        <v/>
      </c>
      <c r="L156" s="0" t="str">
        <f aca="false">IF(AND(J156&lt;&gt;"",J156&lt;&gt;0),K156/J156,"")</f>
        <v/>
      </c>
      <c r="M156" s="0" t="str">
        <f aca="false">IF(I156&lt;&gt;"",IF(SUM($I$2:$I$200)&lt;&gt;0,I156/SUM($I$2:$I$200),""),"")</f>
        <v/>
      </c>
    </row>
    <row r="157" customFormat="false" ht="15" hidden="false" customHeight="false" outlineLevel="0" collapsed="false">
      <c r="H157" s="0" t="str">
        <f aca="false">IF(A157&lt;&gt;"",googlefinance(A157,"price"),"")</f>
        <v/>
      </c>
      <c r="I157" s="0" t="str">
        <f aca="false">IF(F157&lt;&gt;"",F157*H157,"")</f>
        <v/>
      </c>
      <c r="J157" s="0" t="str">
        <f aca="false">IF(F157&lt;&gt;"",F157*G157,"")</f>
        <v/>
      </c>
      <c r="K157" s="0" t="str">
        <f aca="false">IF(J157&lt;&gt;"",I157-J157,"")</f>
        <v/>
      </c>
      <c r="L157" s="0" t="str">
        <f aca="false">IF(AND(J157&lt;&gt;"",J157&lt;&gt;0),K157/J157,"")</f>
        <v/>
      </c>
      <c r="M157" s="0" t="str">
        <f aca="false">IF(I157&lt;&gt;"",IF(SUM($I$2:$I$200)&lt;&gt;0,I157/SUM($I$2:$I$200),""),"")</f>
        <v/>
      </c>
    </row>
    <row r="158" customFormat="false" ht="15" hidden="false" customHeight="false" outlineLevel="0" collapsed="false">
      <c r="H158" s="0" t="str">
        <f aca="false">IF(A158&lt;&gt;"",googlefinance(A158,"price"),"")</f>
        <v/>
      </c>
      <c r="I158" s="0" t="str">
        <f aca="false">IF(F158&lt;&gt;"",F158*H158,"")</f>
        <v/>
      </c>
      <c r="J158" s="0" t="str">
        <f aca="false">IF(F158&lt;&gt;"",F158*G158,"")</f>
        <v/>
      </c>
      <c r="K158" s="0" t="str">
        <f aca="false">IF(J158&lt;&gt;"",I158-J158,"")</f>
        <v/>
      </c>
      <c r="L158" s="0" t="str">
        <f aca="false">IF(AND(J158&lt;&gt;"",J158&lt;&gt;0),K158/J158,"")</f>
        <v/>
      </c>
      <c r="M158" s="0" t="str">
        <f aca="false">IF(I158&lt;&gt;"",IF(SUM($I$2:$I$200)&lt;&gt;0,I158/SUM($I$2:$I$200),""),"")</f>
        <v/>
      </c>
    </row>
    <row r="159" customFormat="false" ht="15" hidden="false" customHeight="false" outlineLevel="0" collapsed="false">
      <c r="H159" s="0" t="str">
        <f aca="false">IF(A159&lt;&gt;"",googlefinance(A159,"price"),"")</f>
        <v/>
      </c>
      <c r="I159" s="0" t="str">
        <f aca="false">IF(F159&lt;&gt;"",F159*H159,"")</f>
        <v/>
      </c>
      <c r="J159" s="0" t="str">
        <f aca="false">IF(F159&lt;&gt;"",F159*G159,"")</f>
        <v/>
      </c>
      <c r="K159" s="0" t="str">
        <f aca="false">IF(J159&lt;&gt;"",I159-J159,"")</f>
        <v/>
      </c>
      <c r="L159" s="0" t="str">
        <f aca="false">IF(AND(J159&lt;&gt;"",J159&lt;&gt;0),K159/J159,"")</f>
        <v/>
      </c>
      <c r="M159" s="0" t="str">
        <f aca="false">IF(I159&lt;&gt;"",IF(SUM($I$2:$I$200)&lt;&gt;0,I159/SUM($I$2:$I$200),""),"")</f>
        <v/>
      </c>
    </row>
    <row r="160" customFormat="false" ht="15" hidden="false" customHeight="false" outlineLevel="0" collapsed="false">
      <c r="H160" s="0" t="str">
        <f aca="false">IF(A160&lt;&gt;"",googlefinance(A160,"price"),"")</f>
        <v/>
      </c>
      <c r="I160" s="0" t="str">
        <f aca="false">IF(F160&lt;&gt;"",F160*H160,"")</f>
        <v/>
      </c>
      <c r="J160" s="0" t="str">
        <f aca="false">IF(F160&lt;&gt;"",F160*G160,"")</f>
        <v/>
      </c>
      <c r="K160" s="0" t="str">
        <f aca="false">IF(J160&lt;&gt;"",I160-J160,"")</f>
        <v/>
      </c>
      <c r="L160" s="0" t="str">
        <f aca="false">IF(AND(J160&lt;&gt;"",J160&lt;&gt;0),K160/J160,"")</f>
        <v/>
      </c>
      <c r="M160" s="0" t="str">
        <f aca="false">IF(I160&lt;&gt;"",IF(SUM($I$2:$I$200)&lt;&gt;0,I160/SUM($I$2:$I$200),""),"")</f>
        <v/>
      </c>
    </row>
    <row r="161" customFormat="false" ht="15" hidden="false" customHeight="false" outlineLevel="0" collapsed="false">
      <c r="H161" s="0" t="str">
        <f aca="false">IF(A161&lt;&gt;"",googlefinance(A161,"price"),"")</f>
        <v/>
      </c>
      <c r="I161" s="0" t="str">
        <f aca="false">IF(F161&lt;&gt;"",F161*H161,"")</f>
        <v/>
      </c>
      <c r="J161" s="0" t="str">
        <f aca="false">IF(F161&lt;&gt;"",F161*G161,"")</f>
        <v/>
      </c>
      <c r="K161" s="0" t="str">
        <f aca="false">IF(J161&lt;&gt;"",I161-J161,"")</f>
        <v/>
      </c>
      <c r="L161" s="0" t="str">
        <f aca="false">IF(AND(J161&lt;&gt;"",J161&lt;&gt;0),K161/J161,"")</f>
        <v/>
      </c>
      <c r="M161" s="0" t="str">
        <f aca="false">IF(I161&lt;&gt;"",IF(SUM($I$2:$I$200)&lt;&gt;0,I161/SUM($I$2:$I$200),""),"")</f>
        <v/>
      </c>
    </row>
    <row r="162" customFormat="false" ht="15" hidden="false" customHeight="false" outlineLevel="0" collapsed="false">
      <c r="H162" s="0" t="str">
        <f aca="false">IF(A162&lt;&gt;"",googlefinance(A162,"price"),"")</f>
        <v/>
      </c>
      <c r="I162" s="0" t="str">
        <f aca="false">IF(F162&lt;&gt;"",F162*H162,"")</f>
        <v/>
      </c>
      <c r="J162" s="0" t="str">
        <f aca="false">IF(F162&lt;&gt;"",F162*G162,"")</f>
        <v/>
      </c>
      <c r="K162" s="0" t="str">
        <f aca="false">IF(J162&lt;&gt;"",I162-J162,"")</f>
        <v/>
      </c>
      <c r="L162" s="0" t="str">
        <f aca="false">IF(AND(J162&lt;&gt;"",J162&lt;&gt;0),K162/J162,"")</f>
        <v/>
      </c>
      <c r="M162" s="0" t="str">
        <f aca="false">IF(I162&lt;&gt;"",IF(SUM($I$2:$I$200)&lt;&gt;0,I162/SUM($I$2:$I$200),""),"")</f>
        <v/>
      </c>
    </row>
    <row r="163" customFormat="false" ht="15" hidden="false" customHeight="false" outlineLevel="0" collapsed="false">
      <c r="H163" s="0" t="str">
        <f aca="false">IF(A163&lt;&gt;"",googlefinance(A163,"price"),"")</f>
        <v/>
      </c>
      <c r="I163" s="0" t="str">
        <f aca="false">IF(F163&lt;&gt;"",F163*H163,"")</f>
        <v/>
      </c>
      <c r="J163" s="0" t="str">
        <f aca="false">IF(F163&lt;&gt;"",F163*G163,"")</f>
        <v/>
      </c>
      <c r="K163" s="0" t="str">
        <f aca="false">IF(J163&lt;&gt;"",I163-J163,"")</f>
        <v/>
      </c>
      <c r="L163" s="0" t="str">
        <f aca="false">IF(AND(J163&lt;&gt;"",J163&lt;&gt;0),K163/J163,"")</f>
        <v/>
      </c>
      <c r="M163" s="0" t="str">
        <f aca="false">IF(I163&lt;&gt;"",IF(SUM($I$2:$I$200)&lt;&gt;0,I163/SUM($I$2:$I$200),""),"")</f>
        <v/>
      </c>
    </row>
    <row r="164" customFormat="false" ht="15" hidden="false" customHeight="false" outlineLevel="0" collapsed="false">
      <c r="H164" s="0" t="str">
        <f aca="false">IF(A164&lt;&gt;"",googlefinance(A164,"price"),"")</f>
        <v/>
      </c>
      <c r="I164" s="0" t="str">
        <f aca="false">IF(F164&lt;&gt;"",F164*H164,"")</f>
        <v/>
      </c>
      <c r="J164" s="0" t="str">
        <f aca="false">IF(F164&lt;&gt;"",F164*G164,"")</f>
        <v/>
      </c>
      <c r="K164" s="0" t="str">
        <f aca="false">IF(J164&lt;&gt;"",I164-J164,"")</f>
        <v/>
      </c>
      <c r="L164" s="0" t="str">
        <f aca="false">IF(AND(J164&lt;&gt;"",J164&lt;&gt;0),K164/J164,"")</f>
        <v/>
      </c>
      <c r="M164" s="0" t="str">
        <f aca="false">IF(I164&lt;&gt;"",IF(SUM($I$2:$I$200)&lt;&gt;0,I164/SUM($I$2:$I$200),""),"")</f>
        <v/>
      </c>
    </row>
    <row r="165" customFormat="false" ht="15" hidden="false" customHeight="false" outlineLevel="0" collapsed="false">
      <c r="H165" s="0" t="str">
        <f aca="false">IF(A165&lt;&gt;"",googlefinance(A165,"price"),"")</f>
        <v/>
      </c>
      <c r="I165" s="0" t="str">
        <f aca="false">IF(F165&lt;&gt;"",F165*H165,"")</f>
        <v/>
      </c>
      <c r="J165" s="0" t="str">
        <f aca="false">IF(F165&lt;&gt;"",F165*G165,"")</f>
        <v/>
      </c>
      <c r="K165" s="0" t="str">
        <f aca="false">IF(J165&lt;&gt;"",I165-J165,"")</f>
        <v/>
      </c>
      <c r="L165" s="0" t="str">
        <f aca="false">IF(AND(J165&lt;&gt;"",J165&lt;&gt;0),K165/J165,"")</f>
        <v/>
      </c>
      <c r="M165" s="0" t="str">
        <f aca="false">IF(I165&lt;&gt;"",IF(SUM($I$2:$I$200)&lt;&gt;0,I165/SUM($I$2:$I$200),""),"")</f>
        <v/>
      </c>
    </row>
    <row r="166" customFormat="false" ht="15" hidden="false" customHeight="false" outlineLevel="0" collapsed="false">
      <c r="H166" s="0" t="str">
        <f aca="false">IF(A166&lt;&gt;"",googlefinance(A166,"price"),"")</f>
        <v/>
      </c>
      <c r="I166" s="0" t="str">
        <f aca="false">IF(F166&lt;&gt;"",F166*H166,"")</f>
        <v/>
      </c>
      <c r="J166" s="0" t="str">
        <f aca="false">IF(F166&lt;&gt;"",F166*G166,"")</f>
        <v/>
      </c>
      <c r="K166" s="0" t="str">
        <f aca="false">IF(J166&lt;&gt;"",I166-J166,"")</f>
        <v/>
      </c>
      <c r="L166" s="0" t="str">
        <f aca="false">IF(AND(J166&lt;&gt;"",J166&lt;&gt;0),K166/J166,"")</f>
        <v/>
      </c>
      <c r="M166" s="0" t="str">
        <f aca="false">IF(I166&lt;&gt;"",IF(SUM($I$2:$I$200)&lt;&gt;0,I166/SUM($I$2:$I$200),""),"")</f>
        <v/>
      </c>
    </row>
    <row r="167" customFormat="false" ht="15" hidden="false" customHeight="false" outlineLevel="0" collapsed="false">
      <c r="H167" s="0" t="str">
        <f aca="false">IF(A167&lt;&gt;"",googlefinance(A167,"price"),"")</f>
        <v/>
      </c>
      <c r="I167" s="0" t="str">
        <f aca="false">IF(F167&lt;&gt;"",F167*H167,"")</f>
        <v/>
      </c>
      <c r="J167" s="0" t="str">
        <f aca="false">IF(F167&lt;&gt;"",F167*G167,"")</f>
        <v/>
      </c>
      <c r="K167" s="0" t="str">
        <f aca="false">IF(J167&lt;&gt;"",I167-J167,"")</f>
        <v/>
      </c>
      <c r="L167" s="0" t="str">
        <f aca="false">IF(AND(J167&lt;&gt;"",J167&lt;&gt;0),K167/J167,"")</f>
        <v/>
      </c>
      <c r="M167" s="0" t="str">
        <f aca="false">IF(I167&lt;&gt;"",IF(SUM($I$2:$I$200)&lt;&gt;0,I167/SUM($I$2:$I$200),""),"")</f>
        <v/>
      </c>
    </row>
    <row r="168" customFormat="false" ht="15" hidden="false" customHeight="false" outlineLevel="0" collapsed="false">
      <c r="H168" s="0" t="str">
        <f aca="false">IF(A168&lt;&gt;"",googlefinance(A168,"price"),"")</f>
        <v/>
      </c>
      <c r="I168" s="0" t="str">
        <f aca="false">IF(F168&lt;&gt;"",F168*H168,"")</f>
        <v/>
      </c>
      <c r="J168" s="0" t="str">
        <f aca="false">IF(F168&lt;&gt;"",F168*G168,"")</f>
        <v/>
      </c>
      <c r="K168" s="0" t="str">
        <f aca="false">IF(J168&lt;&gt;"",I168-J168,"")</f>
        <v/>
      </c>
      <c r="L168" s="0" t="str">
        <f aca="false">IF(AND(J168&lt;&gt;"",J168&lt;&gt;0),K168/J168,"")</f>
        <v/>
      </c>
      <c r="M168" s="0" t="str">
        <f aca="false">IF(I168&lt;&gt;"",IF(SUM($I$2:$I$200)&lt;&gt;0,I168/SUM($I$2:$I$200),""),"")</f>
        <v/>
      </c>
    </row>
    <row r="169" customFormat="false" ht="15" hidden="false" customHeight="false" outlineLevel="0" collapsed="false">
      <c r="H169" s="0" t="str">
        <f aca="false">IF(A169&lt;&gt;"",googlefinance(A169,"price"),"")</f>
        <v/>
      </c>
      <c r="I169" s="0" t="str">
        <f aca="false">IF(F169&lt;&gt;"",F169*H169,"")</f>
        <v/>
      </c>
      <c r="J169" s="0" t="str">
        <f aca="false">IF(F169&lt;&gt;"",F169*G169,"")</f>
        <v/>
      </c>
      <c r="K169" s="0" t="str">
        <f aca="false">IF(J169&lt;&gt;"",I169-J169,"")</f>
        <v/>
      </c>
      <c r="L169" s="0" t="str">
        <f aca="false">IF(AND(J169&lt;&gt;"",J169&lt;&gt;0),K169/J169,"")</f>
        <v/>
      </c>
      <c r="M169" s="0" t="str">
        <f aca="false">IF(I169&lt;&gt;"",IF(SUM($I$2:$I$200)&lt;&gt;0,I169/SUM($I$2:$I$200),""),"")</f>
        <v/>
      </c>
    </row>
    <row r="170" customFormat="false" ht="15" hidden="false" customHeight="false" outlineLevel="0" collapsed="false">
      <c r="H170" s="0" t="str">
        <f aca="false">IF(A170&lt;&gt;"",googlefinance(A170,"price"),"")</f>
        <v/>
      </c>
      <c r="I170" s="0" t="str">
        <f aca="false">IF(F170&lt;&gt;"",F170*H170,"")</f>
        <v/>
      </c>
      <c r="J170" s="0" t="str">
        <f aca="false">IF(F170&lt;&gt;"",F170*G170,"")</f>
        <v/>
      </c>
      <c r="K170" s="0" t="str">
        <f aca="false">IF(J170&lt;&gt;"",I170-J170,"")</f>
        <v/>
      </c>
      <c r="L170" s="0" t="str">
        <f aca="false">IF(AND(J170&lt;&gt;"",J170&lt;&gt;0),K170/J170,"")</f>
        <v/>
      </c>
      <c r="M170" s="0" t="str">
        <f aca="false">IF(I170&lt;&gt;"",IF(SUM($I$2:$I$200)&lt;&gt;0,I170/SUM($I$2:$I$200),""),"")</f>
        <v/>
      </c>
    </row>
    <row r="171" customFormat="false" ht="15" hidden="false" customHeight="false" outlineLevel="0" collapsed="false">
      <c r="H171" s="0" t="str">
        <f aca="false">IF(A171&lt;&gt;"",googlefinance(A171,"price"),"")</f>
        <v/>
      </c>
      <c r="I171" s="0" t="str">
        <f aca="false">IF(F171&lt;&gt;"",F171*H171,"")</f>
        <v/>
      </c>
      <c r="J171" s="0" t="str">
        <f aca="false">IF(F171&lt;&gt;"",F171*G171,"")</f>
        <v/>
      </c>
      <c r="K171" s="0" t="str">
        <f aca="false">IF(J171&lt;&gt;"",I171-J171,"")</f>
        <v/>
      </c>
      <c r="L171" s="0" t="str">
        <f aca="false">IF(AND(J171&lt;&gt;"",J171&lt;&gt;0),K171/J171,"")</f>
        <v/>
      </c>
      <c r="M171" s="0" t="str">
        <f aca="false">IF(I171&lt;&gt;"",IF(SUM($I$2:$I$200)&lt;&gt;0,I171/SUM($I$2:$I$200),""),"")</f>
        <v/>
      </c>
    </row>
    <row r="172" customFormat="false" ht="15" hidden="false" customHeight="false" outlineLevel="0" collapsed="false">
      <c r="H172" s="0" t="str">
        <f aca="false">IF(A172&lt;&gt;"",googlefinance(A172,"price"),"")</f>
        <v/>
      </c>
      <c r="I172" s="0" t="str">
        <f aca="false">IF(F172&lt;&gt;"",F172*H172,"")</f>
        <v/>
      </c>
      <c r="J172" s="0" t="str">
        <f aca="false">IF(F172&lt;&gt;"",F172*G172,"")</f>
        <v/>
      </c>
      <c r="K172" s="0" t="str">
        <f aca="false">IF(J172&lt;&gt;"",I172-J172,"")</f>
        <v/>
      </c>
      <c r="L172" s="0" t="str">
        <f aca="false">IF(AND(J172&lt;&gt;"",J172&lt;&gt;0),K172/J172,"")</f>
        <v/>
      </c>
      <c r="M172" s="0" t="str">
        <f aca="false">IF(I172&lt;&gt;"",IF(SUM($I$2:$I$200)&lt;&gt;0,I172/SUM($I$2:$I$200),""),"")</f>
        <v/>
      </c>
    </row>
    <row r="173" customFormat="false" ht="15" hidden="false" customHeight="false" outlineLevel="0" collapsed="false">
      <c r="H173" s="0" t="str">
        <f aca="false">IF(A173&lt;&gt;"",googlefinance(A173,"price"),"")</f>
        <v/>
      </c>
      <c r="I173" s="0" t="str">
        <f aca="false">IF(F173&lt;&gt;"",F173*H173,"")</f>
        <v/>
      </c>
      <c r="J173" s="0" t="str">
        <f aca="false">IF(F173&lt;&gt;"",F173*G173,"")</f>
        <v/>
      </c>
      <c r="K173" s="0" t="str">
        <f aca="false">IF(J173&lt;&gt;"",I173-J173,"")</f>
        <v/>
      </c>
      <c r="L173" s="0" t="str">
        <f aca="false">IF(AND(J173&lt;&gt;"",J173&lt;&gt;0),K173/J173,"")</f>
        <v/>
      </c>
      <c r="M173" s="0" t="str">
        <f aca="false">IF(I173&lt;&gt;"",IF(SUM($I$2:$I$200)&lt;&gt;0,I173/SUM($I$2:$I$200),""),"")</f>
        <v/>
      </c>
    </row>
    <row r="174" customFormat="false" ht="15" hidden="false" customHeight="false" outlineLevel="0" collapsed="false">
      <c r="H174" s="0" t="str">
        <f aca="false">IF(A174&lt;&gt;"",googlefinance(A174,"price"),"")</f>
        <v/>
      </c>
      <c r="I174" s="0" t="str">
        <f aca="false">IF(F174&lt;&gt;"",F174*H174,"")</f>
        <v/>
      </c>
      <c r="J174" s="0" t="str">
        <f aca="false">IF(F174&lt;&gt;"",F174*G174,"")</f>
        <v/>
      </c>
      <c r="K174" s="0" t="str">
        <f aca="false">IF(J174&lt;&gt;"",I174-J174,"")</f>
        <v/>
      </c>
      <c r="L174" s="0" t="str">
        <f aca="false">IF(AND(J174&lt;&gt;"",J174&lt;&gt;0),K174/J174,"")</f>
        <v/>
      </c>
      <c r="M174" s="0" t="str">
        <f aca="false">IF(I174&lt;&gt;"",IF(SUM($I$2:$I$200)&lt;&gt;0,I174/SUM($I$2:$I$200),""),"")</f>
        <v/>
      </c>
    </row>
    <row r="175" customFormat="false" ht="15" hidden="false" customHeight="false" outlineLevel="0" collapsed="false">
      <c r="H175" s="0" t="str">
        <f aca="false">IF(A175&lt;&gt;"",googlefinance(A175,"price"),"")</f>
        <v/>
      </c>
      <c r="I175" s="0" t="str">
        <f aca="false">IF(F175&lt;&gt;"",F175*H175,"")</f>
        <v/>
      </c>
      <c r="J175" s="0" t="str">
        <f aca="false">IF(F175&lt;&gt;"",F175*G175,"")</f>
        <v/>
      </c>
      <c r="K175" s="0" t="str">
        <f aca="false">IF(J175&lt;&gt;"",I175-J175,"")</f>
        <v/>
      </c>
      <c r="L175" s="0" t="str">
        <f aca="false">IF(AND(J175&lt;&gt;"",J175&lt;&gt;0),K175/J175,"")</f>
        <v/>
      </c>
      <c r="M175" s="0" t="str">
        <f aca="false">IF(I175&lt;&gt;"",IF(SUM($I$2:$I$200)&lt;&gt;0,I175/SUM($I$2:$I$200),""),"")</f>
        <v/>
      </c>
    </row>
    <row r="176" customFormat="false" ht="15" hidden="false" customHeight="false" outlineLevel="0" collapsed="false">
      <c r="H176" s="0" t="str">
        <f aca="false">IF(A176&lt;&gt;"",googlefinance(A176,"price"),"")</f>
        <v/>
      </c>
      <c r="I176" s="0" t="str">
        <f aca="false">IF(F176&lt;&gt;"",F176*H176,"")</f>
        <v/>
      </c>
      <c r="J176" s="0" t="str">
        <f aca="false">IF(F176&lt;&gt;"",F176*G176,"")</f>
        <v/>
      </c>
      <c r="K176" s="0" t="str">
        <f aca="false">IF(J176&lt;&gt;"",I176-J176,"")</f>
        <v/>
      </c>
      <c r="L176" s="0" t="str">
        <f aca="false">IF(AND(J176&lt;&gt;"",J176&lt;&gt;0),K176/J176,"")</f>
        <v/>
      </c>
      <c r="M176" s="0" t="str">
        <f aca="false">IF(I176&lt;&gt;"",IF(SUM($I$2:$I$200)&lt;&gt;0,I176/SUM($I$2:$I$200),""),"")</f>
        <v/>
      </c>
    </row>
    <row r="177" customFormat="false" ht="15" hidden="false" customHeight="false" outlineLevel="0" collapsed="false">
      <c r="H177" s="0" t="str">
        <f aca="false">IF(A177&lt;&gt;"",googlefinance(A177,"price"),"")</f>
        <v/>
      </c>
      <c r="I177" s="0" t="str">
        <f aca="false">IF(F177&lt;&gt;"",F177*H177,"")</f>
        <v/>
      </c>
      <c r="J177" s="0" t="str">
        <f aca="false">IF(F177&lt;&gt;"",F177*G177,"")</f>
        <v/>
      </c>
      <c r="K177" s="0" t="str">
        <f aca="false">IF(J177&lt;&gt;"",I177-J177,"")</f>
        <v/>
      </c>
      <c r="L177" s="0" t="str">
        <f aca="false">IF(AND(J177&lt;&gt;"",J177&lt;&gt;0),K177/J177,"")</f>
        <v/>
      </c>
      <c r="M177" s="0" t="str">
        <f aca="false">IF(I177&lt;&gt;"",IF(SUM($I$2:$I$200)&lt;&gt;0,I177/SUM($I$2:$I$200),""),"")</f>
        <v/>
      </c>
    </row>
    <row r="178" customFormat="false" ht="15" hidden="false" customHeight="false" outlineLevel="0" collapsed="false">
      <c r="H178" s="0" t="str">
        <f aca="false">IF(A178&lt;&gt;"",googlefinance(A178,"price"),"")</f>
        <v/>
      </c>
      <c r="I178" s="0" t="str">
        <f aca="false">IF(F178&lt;&gt;"",F178*H178,"")</f>
        <v/>
      </c>
      <c r="J178" s="0" t="str">
        <f aca="false">IF(F178&lt;&gt;"",F178*G178,"")</f>
        <v/>
      </c>
      <c r="K178" s="0" t="str">
        <f aca="false">IF(J178&lt;&gt;"",I178-J178,"")</f>
        <v/>
      </c>
      <c r="L178" s="0" t="str">
        <f aca="false">IF(AND(J178&lt;&gt;"",J178&lt;&gt;0),K178/J178,"")</f>
        <v/>
      </c>
      <c r="M178" s="0" t="str">
        <f aca="false">IF(I178&lt;&gt;"",IF(SUM($I$2:$I$200)&lt;&gt;0,I178/SUM($I$2:$I$200),""),"")</f>
        <v/>
      </c>
    </row>
    <row r="179" customFormat="false" ht="15" hidden="false" customHeight="false" outlineLevel="0" collapsed="false">
      <c r="H179" s="0" t="str">
        <f aca="false">IF(A179&lt;&gt;"",googlefinance(A179,"price"),"")</f>
        <v/>
      </c>
      <c r="I179" s="0" t="str">
        <f aca="false">IF(F179&lt;&gt;"",F179*H179,"")</f>
        <v/>
      </c>
      <c r="J179" s="0" t="str">
        <f aca="false">IF(F179&lt;&gt;"",F179*G179,"")</f>
        <v/>
      </c>
      <c r="K179" s="0" t="str">
        <f aca="false">IF(J179&lt;&gt;"",I179-J179,"")</f>
        <v/>
      </c>
      <c r="L179" s="0" t="str">
        <f aca="false">IF(AND(J179&lt;&gt;"",J179&lt;&gt;0),K179/J179,"")</f>
        <v/>
      </c>
      <c r="M179" s="0" t="str">
        <f aca="false">IF(I179&lt;&gt;"",IF(SUM($I$2:$I$200)&lt;&gt;0,I179/SUM($I$2:$I$200),""),"")</f>
        <v/>
      </c>
    </row>
    <row r="180" customFormat="false" ht="15" hidden="false" customHeight="false" outlineLevel="0" collapsed="false">
      <c r="H180" s="0" t="str">
        <f aca="false">IF(A180&lt;&gt;"",googlefinance(A180,"price"),"")</f>
        <v/>
      </c>
      <c r="I180" s="0" t="str">
        <f aca="false">IF(F180&lt;&gt;"",F180*H180,"")</f>
        <v/>
      </c>
      <c r="J180" s="0" t="str">
        <f aca="false">IF(F180&lt;&gt;"",F180*G180,"")</f>
        <v/>
      </c>
      <c r="K180" s="0" t="str">
        <f aca="false">IF(J180&lt;&gt;"",I180-J180,"")</f>
        <v/>
      </c>
      <c r="L180" s="0" t="str">
        <f aca="false">IF(AND(J180&lt;&gt;"",J180&lt;&gt;0),K180/J180,"")</f>
        <v/>
      </c>
      <c r="M180" s="0" t="str">
        <f aca="false">IF(I180&lt;&gt;"",IF(SUM($I$2:$I$200)&lt;&gt;0,I180/SUM($I$2:$I$200),""),"")</f>
        <v/>
      </c>
    </row>
    <row r="181" customFormat="false" ht="15" hidden="false" customHeight="false" outlineLevel="0" collapsed="false">
      <c r="H181" s="0" t="str">
        <f aca="false">IF(A181&lt;&gt;"",googlefinance(A181,"price"),"")</f>
        <v/>
      </c>
      <c r="I181" s="0" t="str">
        <f aca="false">IF(F181&lt;&gt;"",F181*H181,"")</f>
        <v/>
      </c>
      <c r="J181" s="0" t="str">
        <f aca="false">IF(F181&lt;&gt;"",F181*G181,"")</f>
        <v/>
      </c>
      <c r="K181" s="0" t="str">
        <f aca="false">IF(J181&lt;&gt;"",I181-J181,"")</f>
        <v/>
      </c>
      <c r="L181" s="0" t="str">
        <f aca="false">IF(AND(J181&lt;&gt;"",J181&lt;&gt;0),K181/J181,"")</f>
        <v/>
      </c>
      <c r="M181" s="0" t="str">
        <f aca="false">IF(I181&lt;&gt;"",IF(SUM($I$2:$I$200)&lt;&gt;0,I181/SUM($I$2:$I$200),""),"")</f>
        <v/>
      </c>
    </row>
    <row r="182" customFormat="false" ht="15" hidden="false" customHeight="false" outlineLevel="0" collapsed="false">
      <c r="H182" s="0" t="str">
        <f aca="false">IF(A182&lt;&gt;"",googlefinance(A182,"price"),"")</f>
        <v/>
      </c>
      <c r="I182" s="0" t="str">
        <f aca="false">IF(F182&lt;&gt;"",F182*H182,"")</f>
        <v/>
      </c>
      <c r="J182" s="0" t="str">
        <f aca="false">IF(F182&lt;&gt;"",F182*G182,"")</f>
        <v/>
      </c>
      <c r="K182" s="0" t="str">
        <f aca="false">IF(J182&lt;&gt;"",I182-J182,"")</f>
        <v/>
      </c>
      <c r="L182" s="0" t="str">
        <f aca="false">IF(AND(J182&lt;&gt;"",J182&lt;&gt;0),K182/J182,"")</f>
        <v/>
      </c>
      <c r="M182" s="0" t="str">
        <f aca="false">IF(I182&lt;&gt;"",IF(SUM($I$2:$I$200)&lt;&gt;0,I182/SUM($I$2:$I$200),""),"")</f>
        <v/>
      </c>
    </row>
    <row r="183" customFormat="false" ht="15" hidden="false" customHeight="false" outlineLevel="0" collapsed="false">
      <c r="H183" s="0" t="str">
        <f aca="false">IF(A183&lt;&gt;"",googlefinance(A183,"price"),"")</f>
        <v/>
      </c>
      <c r="I183" s="0" t="str">
        <f aca="false">IF(F183&lt;&gt;"",F183*H183,"")</f>
        <v/>
      </c>
      <c r="J183" s="0" t="str">
        <f aca="false">IF(F183&lt;&gt;"",F183*G183,"")</f>
        <v/>
      </c>
      <c r="K183" s="0" t="str">
        <f aca="false">IF(J183&lt;&gt;"",I183-J183,"")</f>
        <v/>
      </c>
      <c r="L183" s="0" t="str">
        <f aca="false">IF(AND(J183&lt;&gt;"",J183&lt;&gt;0),K183/J183,"")</f>
        <v/>
      </c>
      <c r="M183" s="0" t="str">
        <f aca="false">IF(I183&lt;&gt;"",IF(SUM($I$2:$I$200)&lt;&gt;0,I183/SUM($I$2:$I$200),""),"")</f>
        <v/>
      </c>
    </row>
    <row r="184" customFormat="false" ht="15" hidden="false" customHeight="false" outlineLevel="0" collapsed="false">
      <c r="H184" s="0" t="str">
        <f aca="false">IF(A184&lt;&gt;"",googlefinance(A184,"price"),"")</f>
        <v/>
      </c>
      <c r="I184" s="0" t="str">
        <f aca="false">IF(F184&lt;&gt;"",F184*H184,"")</f>
        <v/>
      </c>
      <c r="J184" s="0" t="str">
        <f aca="false">IF(F184&lt;&gt;"",F184*G184,"")</f>
        <v/>
      </c>
      <c r="K184" s="0" t="str">
        <f aca="false">IF(J184&lt;&gt;"",I184-J184,"")</f>
        <v/>
      </c>
      <c r="L184" s="0" t="str">
        <f aca="false">IF(AND(J184&lt;&gt;"",J184&lt;&gt;0),K184/J184,"")</f>
        <v/>
      </c>
      <c r="M184" s="0" t="str">
        <f aca="false">IF(I184&lt;&gt;"",IF(SUM($I$2:$I$200)&lt;&gt;0,I184/SUM($I$2:$I$200),""),"")</f>
        <v/>
      </c>
    </row>
    <row r="185" customFormat="false" ht="15" hidden="false" customHeight="false" outlineLevel="0" collapsed="false">
      <c r="H185" s="0" t="str">
        <f aca="false">IF(A185&lt;&gt;"",googlefinance(A185,"price"),"")</f>
        <v/>
      </c>
      <c r="I185" s="0" t="str">
        <f aca="false">IF(F185&lt;&gt;"",F185*H185,"")</f>
        <v/>
      </c>
      <c r="J185" s="0" t="str">
        <f aca="false">IF(F185&lt;&gt;"",F185*G185,"")</f>
        <v/>
      </c>
      <c r="K185" s="0" t="str">
        <f aca="false">IF(J185&lt;&gt;"",I185-J185,"")</f>
        <v/>
      </c>
      <c r="L185" s="0" t="str">
        <f aca="false">IF(AND(J185&lt;&gt;"",J185&lt;&gt;0),K185/J185,"")</f>
        <v/>
      </c>
      <c r="M185" s="0" t="str">
        <f aca="false">IF(I185&lt;&gt;"",IF(SUM($I$2:$I$200)&lt;&gt;0,I185/SUM($I$2:$I$200),""),"")</f>
        <v/>
      </c>
    </row>
    <row r="186" customFormat="false" ht="15" hidden="false" customHeight="false" outlineLevel="0" collapsed="false">
      <c r="H186" s="0" t="str">
        <f aca="false">IF(A186&lt;&gt;"",googlefinance(A186,"price"),"")</f>
        <v/>
      </c>
      <c r="I186" s="0" t="str">
        <f aca="false">IF(F186&lt;&gt;"",F186*H186,"")</f>
        <v/>
      </c>
      <c r="J186" s="0" t="str">
        <f aca="false">IF(F186&lt;&gt;"",F186*G186,"")</f>
        <v/>
      </c>
      <c r="K186" s="0" t="str">
        <f aca="false">IF(J186&lt;&gt;"",I186-J186,"")</f>
        <v/>
      </c>
      <c r="L186" s="0" t="str">
        <f aca="false">IF(AND(J186&lt;&gt;"",J186&lt;&gt;0),K186/J186,"")</f>
        <v/>
      </c>
      <c r="M186" s="0" t="str">
        <f aca="false">IF(I186&lt;&gt;"",IF(SUM($I$2:$I$200)&lt;&gt;0,I186/SUM($I$2:$I$200),""),"")</f>
        <v/>
      </c>
    </row>
    <row r="187" customFormat="false" ht="15" hidden="false" customHeight="false" outlineLevel="0" collapsed="false">
      <c r="H187" s="0" t="str">
        <f aca="false">IF(A187&lt;&gt;"",googlefinance(A187,"price"),"")</f>
        <v/>
      </c>
      <c r="I187" s="0" t="str">
        <f aca="false">IF(F187&lt;&gt;"",F187*H187,"")</f>
        <v/>
      </c>
      <c r="J187" s="0" t="str">
        <f aca="false">IF(F187&lt;&gt;"",F187*G187,"")</f>
        <v/>
      </c>
      <c r="K187" s="0" t="str">
        <f aca="false">IF(J187&lt;&gt;"",I187-J187,"")</f>
        <v/>
      </c>
      <c r="L187" s="0" t="str">
        <f aca="false">IF(AND(J187&lt;&gt;"",J187&lt;&gt;0),K187/J187,"")</f>
        <v/>
      </c>
      <c r="M187" s="0" t="str">
        <f aca="false">IF(I187&lt;&gt;"",IF(SUM($I$2:$I$200)&lt;&gt;0,I187/SUM($I$2:$I$200),""),"")</f>
        <v/>
      </c>
    </row>
    <row r="188" customFormat="false" ht="15" hidden="false" customHeight="false" outlineLevel="0" collapsed="false">
      <c r="H188" s="0" t="str">
        <f aca="false">IF(A188&lt;&gt;"",googlefinance(A188,"price"),"")</f>
        <v/>
      </c>
      <c r="I188" s="0" t="str">
        <f aca="false">IF(F188&lt;&gt;"",F188*H188,"")</f>
        <v/>
      </c>
      <c r="J188" s="0" t="str">
        <f aca="false">IF(F188&lt;&gt;"",F188*G188,"")</f>
        <v/>
      </c>
      <c r="K188" s="0" t="str">
        <f aca="false">IF(J188&lt;&gt;"",I188-J188,"")</f>
        <v/>
      </c>
      <c r="L188" s="0" t="str">
        <f aca="false">IF(AND(J188&lt;&gt;"",J188&lt;&gt;0),K188/J188,"")</f>
        <v/>
      </c>
      <c r="M188" s="0" t="str">
        <f aca="false">IF(I188&lt;&gt;"",IF(SUM($I$2:$I$200)&lt;&gt;0,I188/SUM($I$2:$I$200),""),"")</f>
        <v/>
      </c>
    </row>
    <row r="189" customFormat="false" ht="15" hidden="false" customHeight="false" outlineLevel="0" collapsed="false">
      <c r="H189" s="0" t="str">
        <f aca="false">IF(A189&lt;&gt;"",googlefinance(A189,"price"),"")</f>
        <v/>
      </c>
      <c r="I189" s="0" t="str">
        <f aca="false">IF(F189&lt;&gt;"",F189*H189,"")</f>
        <v/>
      </c>
      <c r="J189" s="0" t="str">
        <f aca="false">IF(F189&lt;&gt;"",F189*G189,"")</f>
        <v/>
      </c>
      <c r="K189" s="0" t="str">
        <f aca="false">IF(J189&lt;&gt;"",I189-J189,"")</f>
        <v/>
      </c>
      <c r="L189" s="0" t="str">
        <f aca="false">IF(AND(J189&lt;&gt;"",J189&lt;&gt;0),K189/J189,"")</f>
        <v/>
      </c>
      <c r="M189" s="0" t="str">
        <f aca="false">IF(I189&lt;&gt;"",IF(SUM($I$2:$I$200)&lt;&gt;0,I189/SUM($I$2:$I$200),""),"")</f>
        <v/>
      </c>
    </row>
    <row r="190" customFormat="false" ht="15" hidden="false" customHeight="false" outlineLevel="0" collapsed="false">
      <c r="H190" s="0" t="str">
        <f aca="false">IF(A190&lt;&gt;"",googlefinance(A190,"price"),"")</f>
        <v/>
      </c>
      <c r="I190" s="0" t="str">
        <f aca="false">IF(F190&lt;&gt;"",F190*H190,"")</f>
        <v/>
      </c>
      <c r="J190" s="0" t="str">
        <f aca="false">IF(F190&lt;&gt;"",F190*G190,"")</f>
        <v/>
      </c>
      <c r="K190" s="0" t="str">
        <f aca="false">IF(J190&lt;&gt;"",I190-J190,"")</f>
        <v/>
      </c>
      <c r="L190" s="0" t="str">
        <f aca="false">IF(AND(J190&lt;&gt;"",J190&lt;&gt;0),K190/J190,"")</f>
        <v/>
      </c>
      <c r="M190" s="0" t="str">
        <f aca="false">IF(I190&lt;&gt;"",IF(SUM($I$2:$I$200)&lt;&gt;0,I190/SUM($I$2:$I$200),""),"")</f>
        <v/>
      </c>
    </row>
    <row r="191" customFormat="false" ht="15" hidden="false" customHeight="false" outlineLevel="0" collapsed="false">
      <c r="H191" s="0" t="str">
        <f aca="false">IF(A191&lt;&gt;"",googlefinance(A191,"price"),"")</f>
        <v/>
      </c>
      <c r="I191" s="0" t="str">
        <f aca="false">IF(F191&lt;&gt;"",F191*H191,"")</f>
        <v/>
      </c>
      <c r="J191" s="0" t="str">
        <f aca="false">IF(F191&lt;&gt;"",F191*G191,"")</f>
        <v/>
      </c>
      <c r="K191" s="0" t="str">
        <f aca="false">IF(J191&lt;&gt;"",I191-J191,"")</f>
        <v/>
      </c>
      <c r="L191" s="0" t="str">
        <f aca="false">IF(AND(J191&lt;&gt;"",J191&lt;&gt;0),K191/J191,"")</f>
        <v/>
      </c>
      <c r="M191" s="0" t="str">
        <f aca="false">IF(I191&lt;&gt;"",IF(SUM($I$2:$I$200)&lt;&gt;0,I191/SUM($I$2:$I$200),""),"")</f>
        <v/>
      </c>
    </row>
    <row r="192" customFormat="false" ht="15" hidden="false" customHeight="false" outlineLevel="0" collapsed="false">
      <c r="H192" s="0" t="str">
        <f aca="false">IF(A192&lt;&gt;"",googlefinance(A192,"price"),"")</f>
        <v/>
      </c>
      <c r="I192" s="0" t="str">
        <f aca="false">IF(F192&lt;&gt;"",F192*H192,"")</f>
        <v/>
      </c>
      <c r="J192" s="0" t="str">
        <f aca="false">IF(F192&lt;&gt;"",F192*G192,"")</f>
        <v/>
      </c>
      <c r="K192" s="0" t="str">
        <f aca="false">IF(J192&lt;&gt;"",I192-J192,"")</f>
        <v/>
      </c>
      <c r="L192" s="0" t="str">
        <f aca="false">IF(AND(J192&lt;&gt;"",J192&lt;&gt;0),K192/J192,"")</f>
        <v/>
      </c>
      <c r="M192" s="0" t="str">
        <f aca="false">IF(I192&lt;&gt;"",IF(SUM($I$2:$I$200)&lt;&gt;0,I192/SUM($I$2:$I$200),""),"")</f>
        <v/>
      </c>
    </row>
    <row r="193" customFormat="false" ht="15" hidden="false" customHeight="false" outlineLevel="0" collapsed="false">
      <c r="H193" s="0" t="str">
        <f aca="false">IF(A193&lt;&gt;"",googlefinance(A193,"price"),"")</f>
        <v/>
      </c>
      <c r="I193" s="0" t="str">
        <f aca="false">IF(F193&lt;&gt;"",F193*H193,"")</f>
        <v/>
      </c>
      <c r="J193" s="0" t="str">
        <f aca="false">IF(F193&lt;&gt;"",F193*G193,"")</f>
        <v/>
      </c>
      <c r="K193" s="0" t="str">
        <f aca="false">IF(J193&lt;&gt;"",I193-J193,"")</f>
        <v/>
      </c>
      <c r="L193" s="0" t="str">
        <f aca="false">IF(AND(J193&lt;&gt;"",J193&lt;&gt;0),K193/J193,"")</f>
        <v/>
      </c>
      <c r="M193" s="0" t="str">
        <f aca="false">IF(I193&lt;&gt;"",IF(SUM($I$2:$I$200)&lt;&gt;0,I193/SUM($I$2:$I$200),""),"")</f>
        <v/>
      </c>
    </row>
    <row r="194" customFormat="false" ht="15" hidden="false" customHeight="false" outlineLevel="0" collapsed="false">
      <c r="H194" s="0" t="str">
        <f aca="false">IF(A194&lt;&gt;"",googlefinance(A194,"price"),"")</f>
        <v/>
      </c>
      <c r="I194" s="0" t="str">
        <f aca="false">IF(F194&lt;&gt;"",F194*H194,"")</f>
        <v/>
      </c>
      <c r="J194" s="0" t="str">
        <f aca="false">IF(F194&lt;&gt;"",F194*G194,"")</f>
        <v/>
      </c>
      <c r="K194" s="0" t="str">
        <f aca="false">IF(J194&lt;&gt;"",I194-J194,"")</f>
        <v/>
      </c>
      <c r="L194" s="0" t="str">
        <f aca="false">IF(AND(J194&lt;&gt;"",J194&lt;&gt;0),K194/J194,"")</f>
        <v/>
      </c>
      <c r="M194" s="0" t="str">
        <f aca="false">IF(I194&lt;&gt;"",IF(SUM($I$2:$I$200)&lt;&gt;0,I194/SUM($I$2:$I$200),""),"")</f>
        <v/>
      </c>
    </row>
    <row r="195" customFormat="false" ht="15" hidden="false" customHeight="false" outlineLevel="0" collapsed="false">
      <c r="H195" s="0" t="str">
        <f aca="false">IF(A195&lt;&gt;"",googlefinance(A195,"price"),"")</f>
        <v/>
      </c>
      <c r="I195" s="0" t="str">
        <f aca="false">IF(F195&lt;&gt;"",F195*H195,"")</f>
        <v/>
      </c>
      <c r="J195" s="0" t="str">
        <f aca="false">IF(F195&lt;&gt;"",F195*G195,"")</f>
        <v/>
      </c>
      <c r="K195" s="0" t="str">
        <f aca="false">IF(J195&lt;&gt;"",I195-J195,"")</f>
        <v/>
      </c>
      <c r="L195" s="0" t="str">
        <f aca="false">IF(AND(J195&lt;&gt;"",J195&lt;&gt;0),K195/J195,"")</f>
        <v/>
      </c>
      <c r="M195" s="0" t="str">
        <f aca="false">IF(I195&lt;&gt;"",IF(SUM($I$2:$I$200)&lt;&gt;0,I195/SUM($I$2:$I$200),""),"")</f>
        <v/>
      </c>
    </row>
    <row r="196" customFormat="false" ht="15" hidden="false" customHeight="false" outlineLevel="0" collapsed="false">
      <c r="H196" s="0" t="str">
        <f aca="false">IF(A196&lt;&gt;"",googlefinance(A196,"price"),"")</f>
        <v/>
      </c>
      <c r="I196" s="0" t="str">
        <f aca="false">IF(F196&lt;&gt;"",F196*H196,"")</f>
        <v/>
      </c>
      <c r="J196" s="0" t="str">
        <f aca="false">IF(F196&lt;&gt;"",F196*G196,"")</f>
        <v/>
      </c>
      <c r="K196" s="0" t="str">
        <f aca="false">IF(J196&lt;&gt;"",I196-J196,"")</f>
        <v/>
      </c>
      <c r="L196" s="0" t="str">
        <f aca="false">IF(AND(J196&lt;&gt;"",J196&lt;&gt;0),K196/J196,"")</f>
        <v/>
      </c>
      <c r="M196" s="0" t="str">
        <f aca="false">IF(I196&lt;&gt;"",IF(SUM($I$2:$I$200)&lt;&gt;0,I196/SUM($I$2:$I$200),""),"")</f>
        <v/>
      </c>
    </row>
    <row r="197" customFormat="false" ht="15" hidden="false" customHeight="false" outlineLevel="0" collapsed="false">
      <c r="H197" s="0" t="str">
        <f aca="false">IF(A197&lt;&gt;"",googlefinance(A197,"price"),"")</f>
        <v/>
      </c>
      <c r="I197" s="0" t="str">
        <f aca="false">IF(F197&lt;&gt;"",F197*H197,"")</f>
        <v/>
      </c>
      <c r="J197" s="0" t="str">
        <f aca="false">IF(F197&lt;&gt;"",F197*G197,"")</f>
        <v/>
      </c>
      <c r="K197" s="0" t="str">
        <f aca="false">IF(J197&lt;&gt;"",I197-J197,"")</f>
        <v/>
      </c>
      <c r="L197" s="0" t="str">
        <f aca="false">IF(AND(J197&lt;&gt;"",J197&lt;&gt;0),K197/J197,"")</f>
        <v/>
      </c>
      <c r="M197" s="0" t="str">
        <f aca="false">IF(I197&lt;&gt;"",IF(SUM($I$2:$I$200)&lt;&gt;0,I197/SUM($I$2:$I$200),""),"")</f>
        <v/>
      </c>
    </row>
    <row r="198" customFormat="false" ht="15" hidden="false" customHeight="false" outlineLevel="0" collapsed="false">
      <c r="H198" s="0" t="str">
        <f aca="false">IF(A198&lt;&gt;"",googlefinance(A198,"price"),"")</f>
        <v/>
      </c>
      <c r="I198" s="0" t="str">
        <f aca="false">IF(F198&lt;&gt;"",F198*H198,"")</f>
        <v/>
      </c>
      <c r="J198" s="0" t="str">
        <f aca="false">IF(F198&lt;&gt;"",F198*G198,"")</f>
        <v/>
      </c>
      <c r="K198" s="0" t="str">
        <f aca="false">IF(J198&lt;&gt;"",I198-J198,"")</f>
        <v/>
      </c>
      <c r="L198" s="0" t="str">
        <f aca="false">IF(AND(J198&lt;&gt;"",J198&lt;&gt;0),K198/J198,"")</f>
        <v/>
      </c>
      <c r="M198" s="0" t="str">
        <f aca="false">IF(I198&lt;&gt;"",IF(SUM($I$2:$I$200)&lt;&gt;0,I198/SUM($I$2:$I$200),""),"")</f>
        <v/>
      </c>
    </row>
    <row r="199" customFormat="false" ht="15" hidden="false" customHeight="false" outlineLevel="0" collapsed="false">
      <c r="H199" s="0" t="str">
        <f aca="false">IF(A199&lt;&gt;"",googlefinance(A199,"price"),"")</f>
        <v/>
      </c>
      <c r="I199" s="0" t="str">
        <f aca="false">IF(F199&lt;&gt;"",F199*H199,"")</f>
        <v/>
      </c>
      <c r="J199" s="0" t="str">
        <f aca="false">IF(F199&lt;&gt;"",F199*G199,"")</f>
        <v/>
      </c>
      <c r="K199" s="0" t="str">
        <f aca="false">IF(J199&lt;&gt;"",I199-J199,"")</f>
        <v/>
      </c>
      <c r="L199" s="0" t="str">
        <f aca="false">IF(AND(J199&lt;&gt;"",J199&lt;&gt;0),K199/J199,"")</f>
        <v/>
      </c>
      <c r="M199" s="0" t="str">
        <f aca="false">IF(I199&lt;&gt;"",IF(SUM($I$2:$I$200)&lt;&gt;0,I199/SUM($I$2:$I$200),""),"")</f>
        <v/>
      </c>
    </row>
    <row r="200" customFormat="false" ht="15" hidden="false" customHeight="false" outlineLevel="0" collapsed="false">
      <c r="H200" s="0" t="str">
        <f aca="false">IF(A200&lt;&gt;"",googlefinance(A200,"price"),"")</f>
        <v/>
      </c>
      <c r="I200" s="0" t="str">
        <f aca="false">IF(F200&lt;&gt;"",F200*H200,"")</f>
        <v/>
      </c>
      <c r="J200" s="0" t="str">
        <f aca="false">IF(F200&lt;&gt;"",F200*G200,"")</f>
        <v/>
      </c>
      <c r="K200" s="0" t="str">
        <f aca="false">IF(J200&lt;&gt;"",I200-J200,"")</f>
        <v/>
      </c>
      <c r="L200" s="0" t="str">
        <f aca="false">IF(AND(J200&lt;&gt;"",J200&lt;&gt;0),K200/J200,"")</f>
        <v/>
      </c>
      <c r="M200" s="0" t="str">
        <f aca="false">IF(I200&lt;&gt;"",IF(SUM($I$2:$I$200)&lt;&gt;0,I200/SUM($I$2:$I$200),""),"")</f>
        <v/>
      </c>
    </row>
  </sheetData>
  <autoFilter ref="A1:T200"/>
  <conditionalFormatting sqref="K2:K200">
    <cfRule type="cellIs" priority="2" operator="greaterThan" aboveAverage="0" equalAverage="0" bottom="0" percent="0" rank="0" text="" dxfId="4">
      <formula>0</formula>
    </cfRule>
    <cfRule type="cellIs" priority="3" operator="lessThan" aboveAverage="0" equalAverage="0" bottom="0" percent="0" rank="0" text="" dxfId="5">
      <formula>0</formula>
    </cfRule>
  </conditionalFormatting>
  <conditionalFormatting sqref="L2:L200">
    <cfRule type="cellIs" priority="4" operator="greaterThan" aboveAverage="0" equalAverage="0" bottom="0" percent="0" rank="0" text="" dxfId="4">
      <formula>0</formula>
    </cfRule>
    <cfRule type="cellIs" priority="5" operator="lessThan" aboveAverage="0" equalAverage="0" bottom="0" percent="0" rank="0" text="" dxfId="5">
      <formula>0</formula>
    </cfRule>
  </conditionalFormatting>
  <dataValidations count="4">
    <dataValidation allowBlank="true" errorStyle="stop" operator="between" showDropDown="false" showErrorMessage="false" showInputMessage="false" sqref="C2:C200" type="list">
      <formula1>"Individual,Rollover IRA,Roth IRA,Other"</formula1>
      <formula2>0</formula2>
    </dataValidation>
    <dataValidation allowBlank="true" errorStyle="stop" operator="between" showDropDown="false" showErrorMessage="false" showInputMessage="false" sqref="D2:D200" type="list">
      <formula1>"Energy,IT,Materials,Healthcare,Industrials,Financials,Consumer,Utilities,Comm Services,Real Estate"</formula1>
      <formula2>0</formula2>
    </dataValidation>
    <dataValidation allowBlank="true" errorStyle="stop" operator="between" showDropDown="false" showErrorMessage="false" showInputMessage="false" sqref="E2:E200" type="list">
      <formula1>"Equity,ETF,Option,Bond,Crypto,Cash"</formula1>
      <formula2>0</formula2>
    </dataValidation>
    <dataValidation allowBlank="true" errorStyle="stop" operator="between" showDropDown="false" showErrorMessage="false" showInputMessage="false" sqref="P2:P200" type="list">
      <formula1>"Active,Watching,Exited,Stopped Out"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11" min="7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</cols>
  <sheetData>
    <row r="1" customFormat="false" ht="23.85" hidden="false" customHeight="false" outlineLevel="0" collapsed="false">
      <c r="A1" s="4" t="s">
        <v>35</v>
      </c>
      <c r="B1" s="4" t="s">
        <v>36</v>
      </c>
      <c r="C1" s="4" t="s">
        <v>2</v>
      </c>
      <c r="D1" s="4" t="s">
        <v>80</v>
      </c>
      <c r="E1" s="4" t="s">
        <v>81</v>
      </c>
      <c r="F1" s="4" t="s">
        <v>38</v>
      </c>
      <c r="G1" s="4" t="s">
        <v>82</v>
      </c>
      <c r="H1" s="4" t="s">
        <v>83</v>
      </c>
      <c r="I1" s="4" t="s">
        <v>84</v>
      </c>
      <c r="J1" s="4" t="s">
        <v>4</v>
      </c>
      <c r="K1" s="4" t="s">
        <v>5</v>
      </c>
      <c r="L1" s="4" t="s">
        <v>6</v>
      </c>
      <c r="M1" s="4" t="s">
        <v>85</v>
      </c>
      <c r="N1" s="4" t="s">
        <v>86</v>
      </c>
      <c r="O1" s="4" t="s">
        <v>87</v>
      </c>
    </row>
    <row r="2" customFormat="false" ht="15" hidden="false" customHeight="false" outlineLevel="0" collapsed="false">
      <c r="A2" s="8" t="s">
        <v>88</v>
      </c>
      <c r="B2" s="8" t="s">
        <v>89</v>
      </c>
      <c r="C2" s="11" t="s">
        <v>8</v>
      </c>
      <c r="D2" s="8" t="s">
        <v>90</v>
      </c>
      <c r="E2" s="8" t="s">
        <v>91</v>
      </c>
      <c r="F2" s="8" t="n">
        <v>15</v>
      </c>
      <c r="G2" s="6" t="n">
        <v>124.5</v>
      </c>
      <c r="H2" s="6" t="n">
        <v>102.05</v>
      </c>
      <c r="I2" s="6" t="n">
        <f aca="false">F2*G2</f>
        <v>1867.5</v>
      </c>
      <c r="J2" s="6" t="n">
        <f aca="false">F2*H2</f>
        <v>1530.75</v>
      </c>
      <c r="K2" s="6" t="n">
        <f aca="false">I2-J2</f>
        <v>336.75</v>
      </c>
      <c r="L2" s="7" t="n">
        <f aca="false">IF(J2&lt;&gt;0,K2/J2,0)</f>
        <v>0.219990200881921</v>
      </c>
      <c r="M2" s="8" t="str">
        <f aca="false">IF(AND(D2&lt;&gt;"",E2&lt;&gt;""),IF((DATEVALUE(E2)-DATEVALUE(D2))&gt;365,"Long Term","Short Term"),"")</f>
        <v>Short Term</v>
      </c>
      <c r="N2" s="8"/>
      <c r="O2" s="6"/>
    </row>
    <row r="3" customFormat="false" ht="15" hidden="false" customHeight="false" outlineLevel="0" collapsed="false">
      <c r="A3" s="8" t="s">
        <v>92</v>
      </c>
      <c r="B3" s="8" t="s">
        <v>93</v>
      </c>
      <c r="C3" s="11" t="s">
        <v>8</v>
      </c>
      <c r="D3" s="8" t="s">
        <v>94</v>
      </c>
      <c r="E3" s="8" t="s">
        <v>95</v>
      </c>
      <c r="F3" s="8" t="n">
        <v>15</v>
      </c>
      <c r="G3" s="6" t="n">
        <v>766</v>
      </c>
      <c r="H3" s="6" t="n">
        <v>726.37</v>
      </c>
      <c r="I3" s="6" t="n">
        <f aca="false">F3*G3</f>
        <v>11490</v>
      </c>
      <c r="J3" s="6" t="n">
        <f aca="false">F3*H3</f>
        <v>10895.55</v>
      </c>
      <c r="K3" s="6" t="n">
        <f aca="false">I3-J3</f>
        <v>594.450000000001</v>
      </c>
      <c r="L3" s="7" t="n">
        <f aca="false">IF(J3&lt;&gt;0,K3/J3,0)</f>
        <v>0.0545589713231549</v>
      </c>
      <c r="M3" s="8" t="str">
        <f aca="false">IF(AND(D3&lt;&gt;"",E3&lt;&gt;""),IF((DATEVALUE(E3)-DATEVALUE(D3))&gt;365,"Long Term","Short Term"),"")</f>
        <v>Short Term</v>
      </c>
      <c r="N3" s="8"/>
      <c r="O3" s="6"/>
    </row>
    <row r="4" customFormat="false" ht="15" hidden="false" customHeight="false" outlineLevel="0" collapsed="false">
      <c r="A4" s="8" t="s">
        <v>96</v>
      </c>
      <c r="B4" s="8" t="s">
        <v>97</v>
      </c>
      <c r="C4" s="11" t="s">
        <v>8</v>
      </c>
      <c r="D4" s="8" t="s">
        <v>98</v>
      </c>
      <c r="E4" s="8" t="s">
        <v>99</v>
      </c>
      <c r="F4" s="8" t="n">
        <v>200</v>
      </c>
      <c r="G4" s="6" t="n">
        <v>6.51</v>
      </c>
      <c r="H4" s="6" t="n">
        <v>6.9</v>
      </c>
      <c r="I4" s="6" t="n">
        <f aca="false">F4*G4</f>
        <v>1302</v>
      </c>
      <c r="J4" s="6" t="n">
        <f aca="false">F4*H4</f>
        <v>1380</v>
      </c>
      <c r="K4" s="6" t="n">
        <f aca="false">I4-J4</f>
        <v>-78</v>
      </c>
      <c r="L4" s="7" t="n">
        <f aca="false">IF(J4&lt;&gt;0,K4/J4,0)</f>
        <v>-0.0565217391304348</v>
      </c>
      <c r="M4" s="8" t="str">
        <f aca="false">IF(AND(D4&lt;&gt;"",E4&lt;&gt;""),IF((DATEVALUE(E4)-DATEVALUE(D4))&gt;365,"Long Term","Short Term"),"")</f>
        <v>Short Term</v>
      </c>
      <c r="N4" s="8"/>
      <c r="O4" s="6"/>
    </row>
    <row r="5" customFormat="false" ht="15" hidden="false" customHeight="false" outlineLevel="0" collapsed="false">
      <c r="I5" s="0" t="str">
        <f aca="false">IF(F5&lt;&gt;"",F5*G5,"")</f>
        <v/>
      </c>
      <c r="J5" s="0" t="str">
        <f aca="false">IF(F5&lt;&gt;"",F5*H5,"")</f>
        <v/>
      </c>
      <c r="K5" s="0" t="str">
        <f aca="false">IF(J5&lt;&gt;"",I5-J5,"")</f>
        <v/>
      </c>
      <c r="L5" s="0" t="str">
        <f aca="false">IF(AND(J5&lt;&gt;"",J5&lt;&gt;0),K5/J5,"")</f>
        <v/>
      </c>
      <c r="M5" s="0" t="str">
        <f aca="false">IF(AND(D5&lt;&gt;"",E5&lt;&gt;""),IF((DATEVALUE(E5)-DATEVALUE(D5))&gt;365,"Long Term","Short Term"),"")</f>
        <v/>
      </c>
    </row>
    <row r="6" customFormat="false" ht="15" hidden="false" customHeight="false" outlineLevel="0" collapsed="false">
      <c r="A6" s="3" t="s">
        <v>100</v>
      </c>
      <c r="I6" s="0" t="str">
        <f aca="false">IF(F6&lt;&gt;"",F6*G6,"")</f>
        <v/>
      </c>
      <c r="J6" s="0" t="str">
        <f aca="false">IF(F6&lt;&gt;"",F6*H6,"")</f>
        <v/>
      </c>
      <c r="K6" s="0" t="str">
        <f aca="false">IF(J6&lt;&gt;"",I6-J6,"")</f>
        <v/>
      </c>
      <c r="L6" s="0" t="str">
        <f aca="false">IF(AND(J6&lt;&gt;"",J6&lt;&gt;0),K6/J6,"")</f>
        <v/>
      </c>
      <c r="M6" s="0" t="str">
        <f aca="false">IF(AND(D6&lt;&gt;"",E6&lt;&gt;""),IF((DATEVALUE(E6)-DATEVALUE(D6))&gt;365,"Long Term","Short Term"),"")</f>
        <v/>
      </c>
    </row>
    <row r="7" customFormat="false" ht="15" hidden="false" customHeight="false" outlineLevel="0" collapsed="false">
      <c r="A7" s="0" t="s">
        <v>101</v>
      </c>
      <c r="I7" s="0" t="str">
        <f aca="false">IF(F7&lt;&gt;"",F7*G7,"")</f>
        <v/>
      </c>
      <c r="J7" s="0" t="str">
        <f aca="false">IF(F7&lt;&gt;"",F7*H7,"")</f>
        <v/>
      </c>
      <c r="K7" s="14" t="str">
        <f aca="false">IF(J7&lt;&gt;"",I7-J7,"")</f>
        <v/>
      </c>
      <c r="L7" s="0" t="str">
        <f aca="false">IF(AND(J7&lt;&gt;"",J7&lt;&gt;0),K7/J7,"")</f>
        <v/>
      </c>
      <c r="M7" s="0" t="str">
        <f aca="false">IF(AND(D7&lt;&gt;"",E7&lt;&gt;""),IF((DATEVALUE(E7)-DATEVALUE(D7))&gt;365,"Long Term","Short Term"),"")</f>
        <v/>
      </c>
    </row>
    <row r="8" customFormat="false" ht="15" hidden="false" customHeight="false" outlineLevel="0" collapsed="false">
      <c r="I8" s="0" t="str">
        <f aca="false">IF(F8&lt;&gt;"",F8*G8,"")</f>
        <v/>
      </c>
      <c r="J8" s="0" t="str">
        <f aca="false">IF(F8&lt;&gt;"",F8*H8,"")</f>
        <v/>
      </c>
      <c r="K8" s="0" t="str">
        <f aca="false">IF(J8&lt;&gt;"",I8-J8,"")</f>
        <v/>
      </c>
      <c r="L8" s="0" t="str">
        <f aca="false">IF(AND(J8&lt;&gt;"",J8&lt;&gt;0),K8/J8,"")</f>
        <v/>
      </c>
      <c r="M8" s="0" t="str">
        <f aca="false">IF(AND(D8&lt;&gt;"",E8&lt;&gt;""),IF((DATEVALUE(E8)-DATEVALUE(D8))&gt;365,"Long Term","Short Term"),"")</f>
        <v/>
      </c>
    </row>
    <row r="9" customFormat="false" ht="15" hidden="false" customHeight="false" outlineLevel="0" collapsed="false">
      <c r="I9" s="0" t="str">
        <f aca="false">IF(F9&lt;&gt;"",F9*G9,"")</f>
        <v/>
      </c>
      <c r="J9" s="0" t="str">
        <f aca="false">IF(F9&lt;&gt;"",F9*H9,"")</f>
        <v/>
      </c>
      <c r="K9" s="0" t="str">
        <f aca="false">IF(J9&lt;&gt;"",I9-J9,"")</f>
        <v/>
      </c>
      <c r="L9" s="0" t="str">
        <f aca="false">IF(AND(J9&lt;&gt;"",J9&lt;&gt;0),K9/J9,"")</f>
        <v/>
      </c>
      <c r="M9" s="0" t="str">
        <f aca="false">IF(AND(D9&lt;&gt;"",E9&lt;&gt;""),IF((DATEVALUE(E9)-DATEVALUE(D9))&gt;365,"Long Term","Short Term"),"")</f>
        <v/>
      </c>
    </row>
    <row r="10" customFormat="false" ht="15" hidden="false" customHeight="false" outlineLevel="0" collapsed="false">
      <c r="I10" s="0" t="str">
        <f aca="false">IF(F10&lt;&gt;"",F10*G10,"")</f>
        <v/>
      </c>
      <c r="J10" s="0" t="str">
        <f aca="false">IF(F10&lt;&gt;"",F10*H10,"")</f>
        <v/>
      </c>
      <c r="K10" s="0" t="str">
        <f aca="false">IF(J10&lt;&gt;"",I10-J10,"")</f>
        <v/>
      </c>
      <c r="L10" s="0" t="str">
        <f aca="false">IF(AND(J10&lt;&gt;"",J10&lt;&gt;0),K10/J10,"")</f>
        <v/>
      </c>
      <c r="M10" s="0" t="str">
        <f aca="false">IF(AND(D10&lt;&gt;"",E10&lt;&gt;""),IF((DATEVALUE(E10)-DATEVALUE(D10))&gt;365,"Long Term","Short Term"),"")</f>
        <v/>
      </c>
    </row>
    <row r="11" customFormat="false" ht="15" hidden="false" customHeight="false" outlineLevel="0" collapsed="false">
      <c r="I11" s="0" t="str">
        <f aca="false">IF(F11&lt;&gt;"",F11*G11,"")</f>
        <v/>
      </c>
      <c r="J11" s="0" t="str">
        <f aca="false">IF(F11&lt;&gt;"",F11*H11,"")</f>
        <v/>
      </c>
      <c r="K11" s="0" t="str">
        <f aca="false">IF(J11&lt;&gt;"",I11-J11,"")</f>
        <v/>
      </c>
      <c r="L11" s="0" t="str">
        <f aca="false">IF(AND(J11&lt;&gt;"",J11&lt;&gt;0),K11/J11,"")</f>
        <v/>
      </c>
      <c r="M11" s="0" t="str">
        <f aca="false">IF(AND(D11&lt;&gt;"",E11&lt;&gt;""),IF((DATEVALUE(E11)-DATEVALUE(D11))&gt;365,"Long Term","Short Term"),"")</f>
        <v/>
      </c>
    </row>
    <row r="12" customFormat="false" ht="15" hidden="false" customHeight="false" outlineLevel="0" collapsed="false">
      <c r="I12" s="0" t="str">
        <f aca="false">IF(F12&lt;&gt;"",F12*G12,"")</f>
        <v/>
      </c>
      <c r="J12" s="0" t="str">
        <f aca="false">IF(F12&lt;&gt;"",F12*H12,"")</f>
        <v/>
      </c>
      <c r="K12" s="0" t="str">
        <f aca="false">IF(J12&lt;&gt;"",I12-J12,"")</f>
        <v/>
      </c>
      <c r="L12" s="0" t="str">
        <f aca="false">IF(AND(J12&lt;&gt;"",J12&lt;&gt;0),K12/J12,"")</f>
        <v/>
      </c>
      <c r="M12" s="0" t="str">
        <f aca="false">IF(AND(D12&lt;&gt;"",E12&lt;&gt;""),IF((DATEVALUE(E12)-DATEVALUE(D12))&gt;365,"Long Term","Short Term"),"")</f>
        <v/>
      </c>
    </row>
    <row r="13" customFormat="false" ht="15" hidden="false" customHeight="false" outlineLevel="0" collapsed="false">
      <c r="I13" s="0" t="str">
        <f aca="false">IF(F13&lt;&gt;"",F13*G13,"")</f>
        <v/>
      </c>
      <c r="J13" s="0" t="str">
        <f aca="false">IF(F13&lt;&gt;"",F13*H13,"")</f>
        <v/>
      </c>
      <c r="K13" s="0" t="str">
        <f aca="false">IF(J13&lt;&gt;"",I13-J13,"")</f>
        <v/>
      </c>
      <c r="L13" s="0" t="str">
        <f aca="false">IF(AND(J13&lt;&gt;"",J13&lt;&gt;0),K13/J13,"")</f>
        <v/>
      </c>
      <c r="M13" s="0" t="str">
        <f aca="false">IF(AND(D13&lt;&gt;"",E13&lt;&gt;""),IF((DATEVALUE(E13)-DATEVALUE(D13))&gt;365,"Long Term","Short Term"),"")</f>
        <v/>
      </c>
    </row>
    <row r="14" customFormat="false" ht="15" hidden="false" customHeight="false" outlineLevel="0" collapsed="false">
      <c r="I14" s="0" t="str">
        <f aca="false">IF(F14&lt;&gt;"",F14*G14,"")</f>
        <v/>
      </c>
      <c r="J14" s="0" t="str">
        <f aca="false">IF(F14&lt;&gt;"",F14*H14,"")</f>
        <v/>
      </c>
      <c r="K14" s="0" t="str">
        <f aca="false">IF(J14&lt;&gt;"",I14-J14,"")</f>
        <v/>
      </c>
      <c r="L14" s="0" t="str">
        <f aca="false">IF(AND(J14&lt;&gt;"",J14&lt;&gt;0),K14/J14,"")</f>
        <v/>
      </c>
      <c r="M14" s="0" t="str">
        <f aca="false">IF(AND(D14&lt;&gt;"",E14&lt;&gt;""),IF((DATEVALUE(E14)-DATEVALUE(D14))&gt;365,"Long Term","Short Term"),"")</f>
        <v/>
      </c>
    </row>
    <row r="15" customFormat="false" ht="15" hidden="false" customHeight="false" outlineLevel="0" collapsed="false">
      <c r="I15" s="0" t="str">
        <f aca="false">IF(F15&lt;&gt;"",F15*G15,"")</f>
        <v/>
      </c>
      <c r="J15" s="0" t="str">
        <f aca="false">IF(F15&lt;&gt;"",F15*H15,"")</f>
        <v/>
      </c>
      <c r="K15" s="0" t="str">
        <f aca="false">IF(J15&lt;&gt;"",I15-J15,"")</f>
        <v/>
      </c>
      <c r="L15" s="0" t="str">
        <f aca="false">IF(AND(J15&lt;&gt;"",J15&lt;&gt;0),K15/J15,"")</f>
        <v/>
      </c>
      <c r="M15" s="0" t="str">
        <f aca="false">IF(AND(D15&lt;&gt;"",E15&lt;&gt;""),IF((DATEVALUE(E15)-DATEVALUE(D15))&gt;365,"Long Term","Short Term"),"")</f>
        <v/>
      </c>
    </row>
    <row r="16" customFormat="false" ht="15" hidden="false" customHeight="false" outlineLevel="0" collapsed="false">
      <c r="I16" s="0" t="str">
        <f aca="false">IF(F16&lt;&gt;"",F16*G16,"")</f>
        <v/>
      </c>
      <c r="J16" s="0" t="str">
        <f aca="false">IF(F16&lt;&gt;"",F16*H16,"")</f>
        <v/>
      </c>
      <c r="K16" s="0" t="str">
        <f aca="false">IF(J16&lt;&gt;"",I16-J16,"")</f>
        <v/>
      </c>
      <c r="L16" s="0" t="str">
        <f aca="false">IF(AND(J16&lt;&gt;"",J16&lt;&gt;0),K16/J16,"")</f>
        <v/>
      </c>
      <c r="M16" s="0" t="str">
        <f aca="false">IF(AND(D16&lt;&gt;"",E16&lt;&gt;""),IF((DATEVALUE(E16)-DATEVALUE(D16))&gt;365,"Long Term","Short Term"),"")</f>
        <v/>
      </c>
    </row>
    <row r="17" customFormat="false" ht="15" hidden="false" customHeight="false" outlineLevel="0" collapsed="false">
      <c r="I17" s="0" t="str">
        <f aca="false">IF(F17&lt;&gt;"",F17*G17,"")</f>
        <v/>
      </c>
      <c r="J17" s="0" t="str">
        <f aca="false">IF(F17&lt;&gt;"",F17*H17,"")</f>
        <v/>
      </c>
      <c r="K17" s="0" t="str">
        <f aca="false">IF(J17&lt;&gt;"",I17-J17,"")</f>
        <v/>
      </c>
      <c r="L17" s="0" t="str">
        <f aca="false">IF(AND(J17&lt;&gt;"",J17&lt;&gt;0),K17/J17,"")</f>
        <v/>
      </c>
      <c r="M17" s="0" t="str">
        <f aca="false">IF(AND(D17&lt;&gt;"",E17&lt;&gt;""),IF((DATEVALUE(E17)-DATEVALUE(D17))&gt;365,"Long Term","Short Term"),"")</f>
        <v/>
      </c>
    </row>
    <row r="18" customFormat="false" ht="15" hidden="false" customHeight="false" outlineLevel="0" collapsed="false">
      <c r="I18" s="0" t="str">
        <f aca="false">IF(F18&lt;&gt;"",F18*G18,"")</f>
        <v/>
      </c>
      <c r="J18" s="0" t="str">
        <f aca="false">IF(F18&lt;&gt;"",F18*H18,"")</f>
        <v/>
      </c>
      <c r="K18" s="0" t="str">
        <f aca="false">IF(J18&lt;&gt;"",I18-J18,"")</f>
        <v/>
      </c>
      <c r="L18" s="0" t="str">
        <f aca="false">IF(AND(J18&lt;&gt;"",J18&lt;&gt;0),K18/J18,"")</f>
        <v/>
      </c>
      <c r="M18" s="0" t="str">
        <f aca="false">IF(AND(D18&lt;&gt;"",E18&lt;&gt;""),IF((DATEVALUE(E18)-DATEVALUE(D18))&gt;365,"Long Term","Short Term"),"")</f>
        <v/>
      </c>
    </row>
    <row r="19" customFormat="false" ht="15" hidden="false" customHeight="false" outlineLevel="0" collapsed="false">
      <c r="I19" s="0" t="str">
        <f aca="false">IF(F19&lt;&gt;"",F19*G19,"")</f>
        <v/>
      </c>
      <c r="J19" s="0" t="str">
        <f aca="false">IF(F19&lt;&gt;"",F19*H19,"")</f>
        <v/>
      </c>
      <c r="K19" s="0" t="str">
        <f aca="false">IF(J19&lt;&gt;"",I19-J19,"")</f>
        <v/>
      </c>
      <c r="L19" s="0" t="str">
        <f aca="false">IF(AND(J19&lt;&gt;"",J19&lt;&gt;0),K19/J19,"")</f>
        <v/>
      </c>
      <c r="M19" s="0" t="str">
        <f aca="false">IF(AND(D19&lt;&gt;"",E19&lt;&gt;""),IF((DATEVALUE(E19)-DATEVALUE(D19))&gt;365,"Long Term","Short Term"),"")</f>
        <v/>
      </c>
    </row>
    <row r="20" customFormat="false" ht="15" hidden="false" customHeight="false" outlineLevel="0" collapsed="false">
      <c r="I20" s="0" t="str">
        <f aca="false">IF(F20&lt;&gt;"",F20*G20,"")</f>
        <v/>
      </c>
      <c r="J20" s="0" t="str">
        <f aca="false">IF(F20&lt;&gt;"",F20*H20,"")</f>
        <v/>
      </c>
      <c r="K20" s="0" t="str">
        <f aca="false">IF(J20&lt;&gt;"",I20-J20,"")</f>
        <v/>
      </c>
      <c r="L20" s="0" t="str">
        <f aca="false">IF(AND(J20&lt;&gt;"",J20&lt;&gt;0),K20/J20,"")</f>
        <v/>
      </c>
      <c r="M20" s="0" t="str">
        <f aca="false">IF(AND(D20&lt;&gt;"",E20&lt;&gt;""),IF((DATEVALUE(E20)-DATEVALUE(D20))&gt;365,"Long Term","Short Term"),"")</f>
        <v/>
      </c>
    </row>
    <row r="21" customFormat="false" ht="15" hidden="false" customHeight="false" outlineLevel="0" collapsed="false">
      <c r="I21" s="0" t="str">
        <f aca="false">IF(F21&lt;&gt;"",F21*G21,"")</f>
        <v/>
      </c>
      <c r="J21" s="0" t="str">
        <f aca="false">IF(F21&lt;&gt;"",F21*H21,"")</f>
        <v/>
      </c>
      <c r="K21" s="0" t="str">
        <f aca="false">IF(J21&lt;&gt;"",I21-J21,"")</f>
        <v/>
      </c>
      <c r="L21" s="0" t="str">
        <f aca="false">IF(AND(J21&lt;&gt;"",J21&lt;&gt;0),K21/J21,"")</f>
        <v/>
      </c>
      <c r="M21" s="0" t="str">
        <f aca="false">IF(AND(D21&lt;&gt;"",E21&lt;&gt;""),IF((DATEVALUE(E21)-DATEVALUE(D21))&gt;365,"Long Term","Short Term"),"")</f>
        <v/>
      </c>
    </row>
    <row r="22" customFormat="false" ht="15" hidden="false" customHeight="false" outlineLevel="0" collapsed="false">
      <c r="I22" s="0" t="str">
        <f aca="false">IF(F22&lt;&gt;"",F22*G22,"")</f>
        <v/>
      </c>
      <c r="J22" s="0" t="str">
        <f aca="false">IF(F22&lt;&gt;"",F22*H22,"")</f>
        <v/>
      </c>
      <c r="K22" s="0" t="str">
        <f aca="false">IF(J22&lt;&gt;"",I22-J22,"")</f>
        <v/>
      </c>
      <c r="L22" s="0" t="str">
        <f aca="false">IF(AND(J22&lt;&gt;"",J22&lt;&gt;0),K22/J22,"")</f>
        <v/>
      </c>
      <c r="M22" s="0" t="str">
        <f aca="false">IF(AND(D22&lt;&gt;"",E22&lt;&gt;""),IF((DATEVALUE(E22)-DATEVALUE(D22))&gt;365,"Long Term","Short Term"),"")</f>
        <v/>
      </c>
    </row>
    <row r="23" customFormat="false" ht="15" hidden="false" customHeight="false" outlineLevel="0" collapsed="false">
      <c r="I23" s="0" t="str">
        <f aca="false">IF(F23&lt;&gt;"",F23*G23,"")</f>
        <v/>
      </c>
      <c r="J23" s="0" t="str">
        <f aca="false">IF(F23&lt;&gt;"",F23*H23,"")</f>
        <v/>
      </c>
      <c r="K23" s="0" t="str">
        <f aca="false">IF(J23&lt;&gt;"",I23-J23,"")</f>
        <v/>
      </c>
      <c r="L23" s="0" t="str">
        <f aca="false">IF(AND(J23&lt;&gt;"",J23&lt;&gt;0),K23/J23,"")</f>
        <v/>
      </c>
      <c r="M23" s="0" t="str">
        <f aca="false">IF(AND(D23&lt;&gt;"",E23&lt;&gt;""),IF((DATEVALUE(E23)-DATEVALUE(D23))&gt;365,"Long Term","Short Term"),"")</f>
        <v/>
      </c>
    </row>
    <row r="24" customFormat="false" ht="15" hidden="false" customHeight="false" outlineLevel="0" collapsed="false">
      <c r="I24" s="0" t="str">
        <f aca="false">IF(F24&lt;&gt;"",F24*G24,"")</f>
        <v/>
      </c>
      <c r="J24" s="0" t="str">
        <f aca="false">IF(F24&lt;&gt;"",F24*H24,"")</f>
        <v/>
      </c>
      <c r="K24" s="0" t="str">
        <f aca="false">IF(J24&lt;&gt;"",I24-J24,"")</f>
        <v/>
      </c>
      <c r="L24" s="0" t="str">
        <f aca="false">IF(AND(J24&lt;&gt;"",J24&lt;&gt;0),K24/J24,"")</f>
        <v/>
      </c>
      <c r="M24" s="0" t="str">
        <f aca="false">IF(AND(D24&lt;&gt;"",E24&lt;&gt;""),IF((DATEVALUE(E24)-DATEVALUE(D24))&gt;365,"Long Term","Short Term"),"")</f>
        <v/>
      </c>
    </row>
    <row r="25" customFormat="false" ht="15" hidden="false" customHeight="false" outlineLevel="0" collapsed="false">
      <c r="I25" s="0" t="str">
        <f aca="false">IF(F25&lt;&gt;"",F25*G25,"")</f>
        <v/>
      </c>
      <c r="J25" s="0" t="str">
        <f aca="false">IF(F25&lt;&gt;"",F25*H25,"")</f>
        <v/>
      </c>
      <c r="K25" s="0" t="str">
        <f aca="false">IF(J25&lt;&gt;"",I25-J25,"")</f>
        <v/>
      </c>
      <c r="L25" s="0" t="str">
        <f aca="false">IF(AND(J25&lt;&gt;"",J25&lt;&gt;0),K25/J25,"")</f>
        <v/>
      </c>
      <c r="M25" s="0" t="str">
        <f aca="false">IF(AND(D25&lt;&gt;"",E25&lt;&gt;""),IF((DATEVALUE(E25)-DATEVALUE(D25))&gt;365,"Long Term","Short Term"),"")</f>
        <v/>
      </c>
    </row>
    <row r="26" customFormat="false" ht="15" hidden="false" customHeight="false" outlineLevel="0" collapsed="false">
      <c r="I26" s="0" t="str">
        <f aca="false">IF(F26&lt;&gt;"",F26*G26,"")</f>
        <v/>
      </c>
      <c r="J26" s="0" t="str">
        <f aca="false">IF(F26&lt;&gt;"",F26*H26,"")</f>
        <v/>
      </c>
      <c r="K26" s="0" t="str">
        <f aca="false">IF(J26&lt;&gt;"",I26-J26,"")</f>
        <v/>
      </c>
      <c r="L26" s="0" t="str">
        <f aca="false">IF(AND(J26&lt;&gt;"",J26&lt;&gt;0),K26/J26,"")</f>
        <v/>
      </c>
      <c r="M26" s="0" t="str">
        <f aca="false">IF(AND(D26&lt;&gt;"",E26&lt;&gt;""),IF((DATEVALUE(E26)-DATEVALUE(D26))&gt;365,"Long Term","Short Term"),"")</f>
        <v/>
      </c>
    </row>
    <row r="27" customFormat="false" ht="15" hidden="false" customHeight="false" outlineLevel="0" collapsed="false">
      <c r="I27" s="0" t="str">
        <f aca="false">IF(F27&lt;&gt;"",F27*G27,"")</f>
        <v/>
      </c>
      <c r="J27" s="0" t="str">
        <f aca="false">IF(F27&lt;&gt;"",F27*H27,"")</f>
        <v/>
      </c>
      <c r="K27" s="0" t="str">
        <f aca="false">IF(J27&lt;&gt;"",I27-J27,"")</f>
        <v/>
      </c>
      <c r="L27" s="0" t="str">
        <f aca="false">IF(AND(J27&lt;&gt;"",J27&lt;&gt;0),K27/J27,"")</f>
        <v/>
      </c>
      <c r="M27" s="0" t="str">
        <f aca="false">IF(AND(D27&lt;&gt;"",E27&lt;&gt;""),IF((DATEVALUE(E27)-DATEVALUE(D27))&gt;365,"Long Term","Short Term"),"")</f>
        <v/>
      </c>
    </row>
    <row r="28" customFormat="false" ht="15" hidden="false" customHeight="false" outlineLevel="0" collapsed="false">
      <c r="I28" s="0" t="str">
        <f aca="false">IF(F28&lt;&gt;"",F28*G28,"")</f>
        <v/>
      </c>
      <c r="J28" s="0" t="str">
        <f aca="false">IF(F28&lt;&gt;"",F28*H28,"")</f>
        <v/>
      </c>
      <c r="K28" s="0" t="str">
        <f aca="false">IF(J28&lt;&gt;"",I28-J28,"")</f>
        <v/>
      </c>
      <c r="L28" s="0" t="str">
        <f aca="false">IF(AND(J28&lt;&gt;"",J28&lt;&gt;0),K28/J28,"")</f>
        <v/>
      </c>
      <c r="M28" s="0" t="str">
        <f aca="false">IF(AND(D28&lt;&gt;"",E28&lt;&gt;""),IF((DATEVALUE(E28)-DATEVALUE(D28))&gt;365,"Long Term","Short Term"),"")</f>
        <v/>
      </c>
    </row>
    <row r="29" customFormat="false" ht="15" hidden="false" customHeight="false" outlineLevel="0" collapsed="false">
      <c r="I29" s="0" t="str">
        <f aca="false">IF(F29&lt;&gt;"",F29*G29,"")</f>
        <v/>
      </c>
      <c r="J29" s="0" t="str">
        <f aca="false">IF(F29&lt;&gt;"",F29*H29,"")</f>
        <v/>
      </c>
      <c r="K29" s="0" t="str">
        <f aca="false">IF(J29&lt;&gt;"",I29-J29,"")</f>
        <v/>
      </c>
      <c r="L29" s="0" t="str">
        <f aca="false">IF(AND(J29&lt;&gt;"",J29&lt;&gt;0),K29/J29,"")</f>
        <v/>
      </c>
      <c r="M29" s="0" t="str">
        <f aca="false">IF(AND(D29&lt;&gt;"",E29&lt;&gt;""),IF((DATEVALUE(E29)-DATEVALUE(D29))&gt;365,"Long Term","Short Term"),"")</f>
        <v/>
      </c>
    </row>
    <row r="30" customFormat="false" ht="15" hidden="false" customHeight="false" outlineLevel="0" collapsed="false">
      <c r="I30" s="0" t="str">
        <f aca="false">IF(F30&lt;&gt;"",F30*G30,"")</f>
        <v/>
      </c>
      <c r="J30" s="0" t="str">
        <f aca="false">IF(F30&lt;&gt;"",F30*H30,"")</f>
        <v/>
      </c>
      <c r="K30" s="0" t="str">
        <f aca="false">IF(J30&lt;&gt;"",I30-J30,"")</f>
        <v/>
      </c>
      <c r="L30" s="0" t="str">
        <f aca="false">IF(AND(J30&lt;&gt;"",J30&lt;&gt;0),K30/J30,"")</f>
        <v/>
      </c>
      <c r="M30" s="0" t="str">
        <f aca="false">IF(AND(D30&lt;&gt;"",E30&lt;&gt;""),IF((DATEVALUE(E30)-DATEVALUE(D30))&gt;365,"Long Term","Short Term"),"")</f>
        <v/>
      </c>
    </row>
    <row r="31" customFormat="false" ht="15" hidden="false" customHeight="false" outlineLevel="0" collapsed="false">
      <c r="I31" s="0" t="str">
        <f aca="false">IF(F31&lt;&gt;"",F31*G31,"")</f>
        <v/>
      </c>
      <c r="J31" s="0" t="str">
        <f aca="false">IF(F31&lt;&gt;"",F31*H31,"")</f>
        <v/>
      </c>
      <c r="K31" s="0" t="str">
        <f aca="false">IF(J31&lt;&gt;"",I31-J31,"")</f>
        <v/>
      </c>
      <c r="L31" s="0" t="str">
        <f aca="false">IF(AND(J31&lt;&gt;"",J31&lt;&gt;0),K31/J31,"")</f>
        <v/>
      </c>
      <c r="M31" s="0" t="str">
        <f aca="false">IF(AND(D31&lt;&gt;"",E31&lt;&gt;""),IF((DATEVALUE(E31)-DATEVALUE(D31))&gt;365,"Long Term","Short Term"),"")</f>
        <v/>
      </c>
    </row>
    <row r="32" customFormat="false" ht="15" hidden="false" customHeight="false" outlineLevel="0" collapsed="false">
      <c r="I32" s="0" t="str">
        <f aca="false">IF(F32&lt;&gt;"",F32*G32,"")</f>
        <v/>
      </c>
      <c r="J32" s="0" t="str">
        <f aca="false">IF(F32&lt;&gt;"",F32*H32,"")</f>
        <v/>
      </c>
      <c r="K32" s="0" t="str">
        <f aca="false">IF(J32&lt;&gt;"",I32-J32,"")</f>
        <v/>
      </c>
      <c r="L32" s="0" t="str">
        <f aca="false">IF(AND(J32&lt;&gt;"",J32&lt;&gt;0),K32/J32,"")</f>
        <v/>
      </c>
      <c r="M32" s="0" t="str">
        <f aca="false">IF(AND(D32&lt;&gt;"",E32&lt;&gt;""),IF((DATEVALUE(E32)-DATEVALUE(D32))&gt;365,"Long Term","Short Term"),"")</f>
        <v/>
      </c>
    </row>
    <row r="33" customFormat="false" ht="15" hidden="false" customHeight="false" outlineLevel="0" collapsed="false">
      <c r="I33" s="0" t="str">
        <f aca="false">IF(F33&lt;&gt;"",F33*G33,"")</f>
        <v/>
      </c>
      <c r="J33" s="0" t="str">
        <f aca="false">IF(F33&lt;&gt;"",F33*H33,"")</f>
        <v/>
      </c>
      <c r="K33" s="0" t="str">
        <f aca="false">IF(J33&lt;&gt;"",I33-J33,"")</f>
        <v/>
      </c>
      <c r="L33" s="0" t="str">
        <f aca="false">IF(AND(J33&lt;&gt;"",J33&lt;&gt;0),K33/J33,"")</f>
        <v/>
      </c>
      <c r="M33" s="0" t="str">
        <f aca="false">IF(AND(D33&lt;&gt;"",E33&lt;&gt;""),IF((DATEVALUE(E33)-DATEVALUE(D33))&gt;365,"Long Term","Short Term"),"")</f>
        <v/>
      </c>
    </row>
    <row r="34" customFormat="false" ht="15" hidden="false" customHeight="false" outlineLevel="0" collapsed="false">
      <c r="I34" s="0" t="str">
        <f aca="false">IF(F34&lt;&gt;"",F34*G34,"")</f>
        <v/>
      </c>
      <c r="J34" s="0" t="str">
        <f aca="false">IF(F34&lt;&gt;"",F34*H34,"")</f>
        <v/>
      </c>
      <c r="K34" s="0" t="str">
        <f aca="false">IF(J34&lt;&gt;"",I34-J34,"")</f>
        <v/>
      </c>
      <c r="L34" s="0" t="str">
        <f aca="false">IF(AND(J34&lt;&gt;"",J34&lt;&gt;0),K34/J34,"")</f>
        <v/>
      </c>
      <c r="M34" s="0" t="str">
        <f aca="false">IF(AND(D34&lt;&gt;"",E34&lt;&gt;""),IF((DATEVALUE(E34)-DATEVALUE(D34))&gt;365,"Long Term","Short Term"),"")</f>
        <v/>
      </c>
    </row>
    <row r="35" customFormat="false" ht="15" hidden="false" customHeight="false" outlineLevel="0" collapsed="false">
      <c r="I35" s="0" t="str">
        <f aca="false">IF(F35&lt;&gt;"",F35*G35,"")</f>
        <v/>
      </c>
      <c r="J35" s="0" t="str">
        <f aca="false">IF(F35&lt;&gt;"",F35*H35,"")</f>
        <v/>
      </c>
      <c r="K35" s="0" t="str">
        <f aca="false">IF(J35&lt;&gt;"",I35-J35,"")</f>
        <v/>
      </c>
      <c r="L35" s="0" t="str">
        <f aca="false">IF(AND(J35&lt;&gt;"",J35&lt;&gt;0),K35/J35,"")</f>
        <v/>
      </c>
      <c r="M35" s="0" t="str">
        <f aca="false">IF(AND(D35&lt;&gt;"",E35&lt;&gt;""),IF((DATEVALUE(E35)-DATEVALUE(D35))&gt;365,"Long Term","Short Term"),"")</f>
        <v/>
      </c>
    </row>
    <row r="36" customFormat="false" ht="15" hidden="false" customHeight="false" outlineLevel="0" collapsed="false">
      <c r="I36" s="0" t="str">
        <f aca="false">IF(F36&lt;&gt;"",F36*G36,"")</f>
        <v/>
      </c>
      <c r="J36" s="0" t="str">
        <f aca="false">IF(F36&lt;&gt;"",F36*H36,"")</f>
        <v/>
      </c>
      <c r="K36" s="0" t="str">
        <f aca="false">IF(J36&lt;&gt;"",I36-J36,"")</f>
        <v/>
      </c>
      <c r="L36" s="0" t="str">
        <f aca="false">IF(AND(J36&lt;&gt;"",J36&lt;&gt;0),K36/J36,"")</f>
        <v/>
      </c>
      <c r="M36" s="0" t="str">
        <f aca="false">IF(AND(D36&lt;&gt;"",E36&lt;&gt;""),IF((DATEVALUE(E36)-DATEVALUE(D36))&gt;365,"Long Term","Short Term"),"")</f>
        <v/>
      </c>
    </row>
    <row r="37" customFormat="false" ht="15" hidden="false" customHeight="false" outlineLevel="0" collapsed="false">
      <c r="I37" s="0" t="str">
        <f aca="false">IF(F37&lt;&gt;"",F37*G37,"")</f>
        <v/>
      </c>
      <c r="J37" s="0" t="str">
        <f aca="false">IF(F37&lt;&gt;"",F37*H37,"")</f>
        <v/>
      </c>
      <c r="K37" s="0" t="str">
        <f aca="false">IF(J37&lt;&gt;"",I37-J37,"")</f>
        <v/>
      </c>
      <c r="L37" s="0" t="str">
        <f aca="false">IF(AND(J37&lt;&gt;"",J37&lt;&gt;0),K37/J37,"")</f>
        <v/>
      </c>
      <c r="M37" s="0" t="str">
        <f aca="false">IF(AND(D37&lt;&gt;"",E37&lt;&gt;""),IF((DATEVALUE(E37)-DATEVALUE(D37))&gt;365,"Long Term","Short Term"),"")</f>
        <v/>
      </c>
    </row>
    <row r="38" customFormat="false" ht="15" hidden="false" customHeight="false" outlineLevel="0" collapsed="false">
      <c r="I38" s="0" t="str">
        <f aca="false">IF(F38&lt;&gt;"",F38*G38,"")</f>
        <v/>
      </c>
      <c r="J38" s="0" t="str">
        <f aca="false">IF(F38&lt;&gt;"",F38*H38,"")</f>
        <v/>
      </c>
      <c r="K38" s="0" t="str">
        <f aca="false">IF(J38&lt;&gt;"",I38-J38,"")</f>
        <v/>
      </c>
      <c r="L38" s="0" t="str">
        <f aca="false">IF(AND(J38&lt;&gt;"",J38&lt;&gt;0),K38/J38,"")</f>
        <v/>
      </c>
      <c r="M38" s="0" t="str">
        <f aca="false">IF(AND(D38&lt;&gt;"",E38&lt;&gt;""),IF((DATEVALUE(E38)-DATEVALUE(D38))&gt;365,"Long Term","Short Term"),"")</f>
        <v/>
      </c>
    </row>
    <row r="39" customFormat="false" ht="15" hidden="false" customHeight="false" outlineLevel="0" collapsed="false">
      <c r="I39" s="0" t="str">
        <f aca="false">IF(F39&lt;&gt;"",F39*G39,"")</f>
        <v/>
      </c>
      <c r="J39" s="0" t="str">
        <f aca="false">IF(F39&lt;&gt;"",F39*H39,"")</f>
        <v/>
      </c>
      <c r="K39" s="0" t="str">
        <f aca="false">IF(J39&lt;&gt;"",I39-J39,"")</f>
        <v/>
      </c>
      <c r="L39" s="0" t="str">
        <f aca="false">IF(AND(J39&lt;&gt;"",J39&lt;&gt;0),K39/J39,"")</f>
        <v/>
      </c>
      <c r="M39" s="0" t="str">
        <f aca="false">IF(AND(D39&lt;&gt;"",E39&lt;&gt;""),IF((DATEVALUE(E39)-DATEVALUE(D39))&gt;365,"Long Term","Short Term"),"")</f>
        <v/>
      </c>
    </row>
    <row r="40" customFormat="false" ht="15" hidden="false" customHeight="false" outlineLevel="0" collapsed="false">
      <c r="I40" s="0" t="str">
        <f aca="false">IF(F40&lt;&gt;"",F40*G40,"")</f>
        <v/>
      </c>
      <c r="J40" s="0" t="str">
        <f aca="false">IF(F40&lt;&gt;"",F40*H40,"")</f>
        <v/>
      </c>
      <c r="K40" s="0" t="str">
        <f aca="false">IF(J40&lt;&gt;"",I40-J40,"")</f>
        <v/>
      </c>
      <c r="L40" s="0" t="str">
        <f aca="false">IF(AND(J40&lt;&gt;"",J40&lt;&gt;0),K40/J40,"")</f>
        <v/>
      </c>
      <c r="M40" s="0" t="str">
        <f aca="false">IF(AND(D40&lt;&gt;"",E40&lt;&gt;""),IF((DATEVALUE(E40)-DATEVALUE(D40))&gt;365,"Long Term","Short Term"),"")</f>
        <v/>
      </c>
    </row>
    <row r="41" customFormat="false" ht="15" hidden="false" customHeight="false" outlineLevel="0" collapsed="false">
      <c r="I41" s="0" t="str">
        <f aca="false">IF(F41&lt;&gt;"",F41*G41,"")</f>
        <v/>
      </c>
      <c r="J41" s="0" t="str">
        <f aca="false">IF(F41&lt;&gt;"",F41*H41,"")</f>
        <v/>
      </c>
      <c r="K41" s="0" t="str">
        <f aca="false">IF(J41&lt;&gt;"",I41-J41,"")</f>
        <v/>
      </c>
      <c r="L41" s="0" t="str">
        <f aca="false">IF(AND(J41&lt;&gt;"",J41&lt;&gt;0),K41/J41,"")</f>
        <v/>
      </c>
      <c r="M41" s="0" t="str">
        <f aca="false">IF(AND(D41&lt;&gt;"",E41&lt;&gt;""),IF((DATEVALUE(E41)-DATEVALUE(D41))&gt;365,"Long Term","Short Term"),"")</f>
        <v/>
      </c>
    </row>
    <row r="42" customFormat="false" ht="15" hidden="false" customHeight="false" outlineLevel="0" collapsed="false">
      <c r="I42" s="0" t="str">
        <f aca="false">IF(F42&lt;&gt;"",F42*G42,"")</f>
        <v/>
      </c>
      <c r="J42" s="0" t="str">
        <f aca="false">IF(F42&lt;&gt;"",F42*H42,"")</f>
        <v/>
      </c>
      <c r="K42" s="0" t="str">
        <f aca="false">IF(J42&lt;&gt;"",I42-J42,"")</f>
        <v/>
      </c>
      <c r="L42" s="0" t="str">
        <f aca="false">IF(AND(J42&lt;&gt;"",J42&lt;&gt;0),K42/J42,"")</f>
        <v/>
      </c>
      <c r="M42" s="0" t="str">
        <f aca="false">IF(AND(D42&lt;&gt;"",E42&lt;&gt;""),IF((DATEVALUE(E42)-DATEVALUE(D42))&gt;365,"Long Term","Short Term"),"")</f>
        <v/>
      </c>
    </row>
    <row r="43" customFormat="false" ht="15" hidden="false" customHeight="false" outlineLevel="0" collapsed="false">
      <c r="I43" s="0" t="str">
        <f aca="false">IF(F43&lt;&gt;"",F43*G43,"")</f>
        <v/>
      </c>
      <c r="J43" s="0" t="str">
        <f aca="false">IF(F43&lt;&gt;"",F43*H43,"")</f>
        <v/>
      </c>
      <c r="K43" s="0" t="str">
        <f aca="false">IF(J43&lt;&gt;"",I43-J43,"")</f>
        <v/>
      </c>
      <c r="L43" s="0" t="str">
        <f aca="false">IF(AND(J43&lt;&gt;"",J43&lt;&gt;0),K43/J43,"")</f>
        <v/>
      </c>
      <c r="M43" s="0" t="str">
        <f aca="false">IF(AND(D43&lt;&gt;"",E43&lt;&gt;""),IF((DATEVALUE(E43)-DATEVALUE(D43))&gt;365,"Long Term","Short Term"),"")</f>
        <v/>
      </c>
    </row>
    <row r="44" customFormat="false" ht="15" hidden="false" customHeight="false" outlineLevel="0" collapsed="false">
      <c r="I44" s="0" t="str">
        <f aca="false">IF(F44&lt;&gt;"",F44*G44,"")</f>
        <v/>
      </c>
      <c r="J44" s="0" t="str">
        <f aca="false">IF(F44&lt;&gt;"",F44*H44,"")</f>
        <v/>
      </c>
      <c r="K44" s="0" t="str">
        <f aca="false">IF(J44&lt;&gt;"",I44-J44,"")</f>
        <v/>
      </c>
      <c r="L44" s="0" t="str">
        <f aca="false">IF(AND(J44&lt;&gt;"",J44&lt;&gt;0),K44/J44,"")</f>
        <v/>
      </c>
      <c r="M44" s="0" t="str">
        <f aca="false">IF(AND(D44&lt;&gt;"",E44&lt;&gt;""),IF((DATEVALUE(E44)-DATEVALUE(D44))&gt;365,"Long Term","Short Term"),"")</f>
        <v/>
      </c>
    </row>
    <row r="45" customFormat="false" ht="15" hidden="false" customHeight="false" outlineLevel="0" collapsed="false">
      <c r="I45" s="0" t="str">
        <f aca="false">IF(F45&lt;&gt;"",F45*G45,"")</f>
        <v/>
      </c>
      <c r="J45" s="0" t="str">
        <f aca="false">IF(F45&lt;&gt;"",F45*H45,"")</f>
        <v/>
      </c>
      <c r="K45" s="0" t="str">
        <f aca="false">IF(J45&lt;&gt;"",I45-J45,"")</f>
        <v/>
      </c>
      <c r="L45" s="0" t="str">
        <f aca="false">IF(AND(J45&lt;&gt;"",J45&lt;&gt;0),K45/J45,"")</f>
        <v/>
      </c>
      <c r="M45" s="0" t="str">
        <f aca="false">IF(AND(D45&lt;&gt;"",E45&lt;&gt;""),IF((DATEVALUE(E45)-DATEVALUE(D45))&gt;365,"Long Term","Short Term"),"")</f>
        <v/>
      </c>
    </row>
    <row r="46" customFormat="false" ht="15" hidden="false" customHeight="false" outlineLevel="0" collapsed="false">
      <c r="I46" s="0" t="str">
        <f aca="false">IF(F46&lt;&gt;"",F46*G46,"")</f>
        <v/>
      </c>
      <c r="J46" s="0" t="str">
        <f aca="false">IF(F46&lt;&gt;"",F46*H46,"")</f>
        <v/>
      </c>
      <c r="K46" s="0" t="str">
        <f aca="false">IF(J46&lt;&gt;"",I46-J46,"")</f>
        <v/>
      </c>
      <c r="L46" s="0" t="str">
        <f aca="false">IF(AND(J46&lt;&gt;"",J46&lt;&gt;0),K46/J46,"")</f>
        <v/>
      </c>
      <c r="M46" s="0" t="str">
        <f aca="false">IF(AND(D46&lt;&gt;"",E46&lt;&gt;""),IF((DATEVALUE(E46)-DATEVALUE(D46))&gt;365,"Long Term","Short Term"),"")</f>
        <v/>
      </c>
    </row>
    <row r="47" customFormat="false" ht="15" hidden="false" customHeight="false" outlineLevel="0" collapsed="false">
      <c r="I47" s="0" t="str">
        <f aca="false">IF(F47&lt;&gt;"",F47*G47,"")</f>
        <v/>
      </c>
      <c r="J47" s="0" t="str">
        <f aca="false">IF(F47&lt;&gt;"",F47*H47,"")</f>
        <v/>
      </c>
      <c r="K47" s="0" t="str">
        <f aca="false">IF(J47&lt;&gt;"",I47-J47,"")</f>
        <v/>
      </c>
      <c r="L47" s="0" t="str">
        <f aca="false">IF(AND(J47&lt;&gt;"",J47&lt;&gt;0),K47/J47,"")</f>
        <v/>
      </c>
      <c r="M47" s="0" t="str">
        <f aca="false">IF(AND(D47&lt;&gt;"",E47&lt;&gt;""),IF((DATEVALUE(E47)-DATEVALUE(D47))&gt;365,"Long Term","Short Term"),"")</f>
        <v/>
      </c>
    </row>
    <row r="48" customFormat="false" ht="15" hidden="false" customHeight="false" outlineLevel="0" collapsed="false">
      <c r="I48" s="0" t="str">
        <f aca="false">IF(F48&lt;&gt;"",F48*G48,"")</f>
        <v/>
      </c>
      <c r="J48" s="0" t="str">
        <f aca="false">IF(F48&lt;&gt;"",F48*H48,"")</f>
        <v/>
      </c>
      <c r="K48" s="0" t="str">
        <f aca="false">IF(J48&lt;&gt;"",I48-J48,"")</f>
        <v/>
      </c>
      <c r="L48" s="0" t="str">
        <f aca="false">IF(AND(J48&lt;&gt;"",J48&lt;&gt;0),K48/J48,"")</f>
        <v/>
      </c>
      <c r="M48" s="0" t="str">
        <f aca="false">IF(AND(D48&lt;&gt;"",E48&lt;&gt;""),IF((DATEVALUE(E48)-DATEVALUE(D48))&gt;365,"Long Term","Short Term"),"")</f>
        <v/>
      </c>
    </row>
    <row r="49" customFormat="false" ht="15" hidden="false" customHeight="false" outlineLevel="0" collapsed="false">
      <c r="I49" s="0" t="str">
        <f aca="false">IF(F49&lt;&gt;"",F49*G49,"")</f>
        <v/>
      </c>
      <c r="J49" s="0" t="str">
        <f aca="false">IF(F49&lt;&gt;"",F49*H49,"")</f>
        <v/>
      </c>
      <c r="K49" s="0" t="str">
        <f aca="false">IF(J49&lt;&gt;"",I49-J49,"")</f>
        <v/>
      </c>
      <c r="L49" s="0" t="str">
        <f aca="false">IF(AND(J49&lt;&gt;"",J49&lt;&gt;0),K49/J49,"")</f>
        <v/>
      </c>
      <c r="M49" s="0" t="str">
        <f aca="false">IF(AND(D49&lt;&gt;"",E49&lt;&gt;""),IF((DATEVALUE(E49)-DATEVALUE(D49))&gt;365,"Long Term","Short Term"),"")</f>
        <v/>
      </c>
    </row>
    <row r="50" customFormat="false" ht="15" hidden="false" customHeight="false" outlineLevel="0" collapsed="false">
      <c r="I50" s="0" t="str">
        <f aca="false">IF(F50&lt;&gt;"",F50*G50,"")</f>
        <v/>
      </c>
      <c r="J50" s="0" t="str">
        <f aca="false">IF(F50&lt;&gt;"",F50*H50,"")</f>
        <v/>
      </c>
      <c r="K50" s="0" t="str">
        <f aca="false">IF(J50&lt;&gt;"",I50-J50,"")</f>
        <v/>
      </c>
      <c r="L50" s="0" t="str">
        <f aca="false">IF(AND(J50&lt;&gt;"",J50&lt;&gt;0),K50/J50,"")</f>
        <v/>
      </c>
      <c r="M50" s="0" t="str">
        <f aca="false">IF(AND(D50&lt;&gt;"",E50&lt;&gt;""),IF((DATEVALUE(E50)-DATEVALUE(D50))&gt;365,"Long Term","Short Term"),"")</f>
        <v/>
      </c>
    </row>
    <row r="51" customFormat="false" ht="15" hidden="false" customHeight="false" outlineLevel="0" collapsed="false">
      <c r="I51" s="0" t="str">
        <f aca="false">IF(F51&lt;&gt;"",F51*G51,"")</f>
        <v/>
      </c>
      <c r="J51" s="0" t="str">
        <f aca="false">IF(F51&lt;&gt;"",F51*H51,"")</f>
        <v/>
      </c>
      <c r="K51" s="0" t="str">
        <f aca="false">IF(J51&lt;&gt;"",I51-J51,"")</f>
        <v/>
      </c>
      <c r="L51" s="0" t="str">
        <f aca="false">IF(AND(J51&lt;&gt;"",J51&lt;&gt;0),K51/J51,"")</f>
        <v/>
      </c>
      <c r="M51" s="0" t="str">
        <f aca="false">IF(AND(D51&lt;&gt;"",E51&lt;&gt;""),IF((DATEVALUE(E51)-DATEVALUE(D51))&gt;365,"Long Term","Short Term"),"")</f>
        <v/>
      </c>
    </row>
    <row r="52" customFormat="false" ht="15" hidden="false" customHeight="false" outlineLevel="0" collapsed="false">
      <c r="I52" s="0" t="str">
        <f aca="false">IF(F52&lt;&gt;"",F52*G52,"")</f>
        <v/>
      </c>
      <c r="J52" s="0" t="str">
        <f aca="false">IF(F52&lt;&gt;"",F52*H52,"")</f>
        <v/>
      </c>
      <c r="K52" s="0" t="str">
        <f aca="false">IF(J52&lt;&gt;"",I52-J52,"")</f>
        <v/>
      </c>
      <c r="L52" s="0" t="str">
        <f aca="false">IF(AND(J52&lt;&gt;"",J52&lt;&gt;0),K52/J52,"")</f>
        <v/>
      </c>
      <c r="M52" s="0" t="str">
        <f aca="false">IF(AND(D52&lt;&gt;"",E52&lt;&gt;""),IF((DATEVALUE(E52)-DATEVALUE(D52))&gt;365,"Long Term","Short Term"),"")</f>
        <v/>
      </c>
    </row>
    <row r="53" customFormat="false" ht="15" hidden="false" customHeight="false" outlineLevel="0" collapsed="false">
      <c r="I53" s="0" t="str">
        <f aca="false">IF(F53&lt;&gt;"",F53*G53,"")</f>
        <v/>
      </c>
      <c r="J53" s="0" t="str">
        <f aca="false">IF(F53&lt;&gt;"",F53*H53,"")</f>
        <v/>
      </c>
      <c r="K53" s="0" t="str">
        <f aca="false">IF(J53&lt;&gt;"",I53-J53,"")</f>
        <v/>
      </c>
      <c r="L53" s="0" t="str">
        <f aca="false">IF(AND(J53&lt;&gt;"",J53&lt;&gt;0),K53/J53,"")</f>
        <v/>
      </c>
      <c r="M53" s="0" t="str">
        <f aca="false">IF(AND(D53&lt;&gt;"",E53&lt;&gt;""),IF((DATEVALUE(E53)-DATEVALUE(D53))&gt;365,"Long Term","Short Term"),"")</f>
        <v/>
      </c>
    </row>
    <row r="54" customFormat="false" ht="15" hidden="false" customHeight="false" outlineLevel="0" collapsed="false">
      <c r="I54" s="0" t="str">
        <f aca="false">IF(F54&lt;&gt;"",F54*G54,"")</f>
        <v/>
      </c>
      <c r="J54" s="0" t="str">
        <f aca="false">IF(F54&lt;&gt;"",F54*H54,"")</f>
        <v/>
      </c>
      <c r="K54" s="0" t="str">
        <f aca="false">IF(J54&lt;&gt;"",I54-J54,"")</f>
        <v/>
      </c>
      <c r="L54" s="0" t="str">
        <f aca="false">IF(AND(J54&lt;&gt;"",J54&lt;&gt;0),K54/J54,"")</f>
        <v/>
      </c>
      <c r="M54" s="0" t="str">
        <f aca="false">IF(AND(D54&lt;&gt;"",E54&lt;&gt;""),IF((DATEVALUE(E54)-DATEVALUE(D54))&gt;365,"Long Term","Short Term"),"")</f>
        <v/>
      </c>
    </row>
    <row r="55" customFormat="false" ht="15" hidden="false" customHeight="false" outlineLevel="0" collapsed="false">
      <c r="I55" s="0" t="str">
        <f aca="false">IF(F55&lt;&gt;"",F55*G55,"")</f>
        <v/>
      </c>
      <c r="J55" s="0" t="str">
        <f aca="false">IF(F55&lt;&gt;"",F55*H55,"")</f>
        <v/>
      </c>
      <c r="K55" s="0" t="str">
        <f aca="false">IF(J55&lt;&gt;"",I55-J55,"")</f>
        <v/>
      </c>
      <c r="L55" s="0" t="str">
        <f aca="false">IF(AND(J55&lt;&gt;"",J55&lt;&gt;0),K55/J55,"")</f>
        <v/>
      </c>
      <c r="M55" s="0" t="str">
        <f aca="false">IF(AND(D55&lt;&gt;"",E55&lt;&gt;""),IF((DATEVALUE(E55)-DATEVALUE(D55))&gt;365,"Long Term","Short Term"),"")</f>
        <v/>
      </c>
    </row>
    <row r="56" customFormat="false" ht="15" hidden="false" customHeight="false" outlineLevel="0" collapsed="false">
      <c r="I56" s="0" t="str">
        <f aca="false">IF(F56&lt;&gt;"",F56*G56,"")</f>
        <v/>
      </c>
      <c r="J56" s="0" t="str">
        <f aca="false">IF(F56&lt;&gt;"",F56*H56,"")</f>
        <v/>
      </c>
      <c r="K56" s="0" t="str">
        <f aca="false">IF(J56&lt;&gt;"",I56-J56,"")</f>
        <v/>
      </c>
      <c r="L56" s="0" t="str">
        <f aca="false">IF(AND(J56&lt;&gt;"",J56&lt;&gt;0),K56/J56,"")</f>
        <v/>
      </c>
      <c r="M56" s="0" t="str">
        <f aca="false">IF(AND(D56&lt;&gt;"",E56&lt;&gt;""),IF((DATEVALUE(E56)-DATEVALUE(D56))&gt;365,"Long Term","Short Term"),"")</f>
        <v/>
      </c>
    </row>
    <row r="57" customFormat="false" ht="15" hidden="false" customHeight="false" outlineLevel="0" collapsed="false">
      <c r="I57" s="0" t="str">
        <f aca="false">IF(F57&lt;&gt;"",F57*G57,"")</f>
        <v/>
      </c>
      <c r="J57" s="0" t="str">
        <f aca="false">IF(F57&lt;&gt;"",F57*H57,"")</f>
        <v/>
      </c>
      <c r="K57" s="0" t="str">
        <f aca="false">IF(J57&lt;&gt;"",I57-J57,"")</f>
        <v/>
      </c>
      <c r="L57" s="0" t="str">
        <f aca="false">IF(AND(J57&lt;&gt;"",J57&lt;&gt;0),K57/J57,"")</f>
        <v/>
      </c>
      <c r="M57" s="0" t="str">
        <f aca="false">IF(AND(D57&lt;&gt;"",E57&lt;&gt;""),IF((DATEVALUE(E57)-DATEVALUE(D57))&gt;365,"Long Term","Short Term"),"")</f>
        <v/>
      </c>
    </row>
    <row r="58" customFormat="false" ht="15" hidden="false" customHeight="false" outlineLevel="0" collapsed="false">
      <c r="I58" s="0" t="str">
        <f aca="false">IF(F58&lt;&gt;"",F58*G58,"")</f>
        <v/>
      </c>
      <c r="J58" s="0" t="str">
        <f aca="false">IF(F58&lt;&gt;"",F58*H58,"")</f>
        <v/>
      </c>
      <c r="K58" s="0" t="str">
        <f aca="false">IF(J58&lt;&gt;"",I58-J58,"")</f>
        <v/>
      </c>
      <c r="L58" s="0" t="str">
        <f aca="false">IF(AND(J58&lt;&gt;"",J58&lt;&gt;0),K58/J58,"")</f>
        <v/>
      </c>
      <c r="M58" s="0" t="str">
        <f aca="false">IF(AND(D58&lt;&gt;"",E58&lt;&gt;""),IF((DATEVALUE(E58)-DATEVALUE(D58))&gt;365,"Long Term","Short Term"),"")</f>
        <v/>
      </c>
    </row>
    <row r="59" customFormat="false" ht="15" hidden="false" customHeight="false" outlineLevel="0" collapsed="false">
      <c r="I59" s="0" t="str">
        <f aca="false">IF(F59&lt;&gt;"",F59*G59,"")</f>
        <v/>
      </c>
      <c r="J59" s="0" t="str">
        <f aca="false">IF(F59&lt;&gt;"",F59*H59,"")</f>
        <v/>
      </c>
      <c r="K59" s="0" t="str">
        <f aca="false">IF(J59&lt;&gt;"",I59-J59,"")</f>
        <v/>
      </c>
      <c r="L59" s="0" t="str">
        <f aca="false">IF(AND(J59&lt;&gt;"",J59&lt;&gt;0),K59/J59,"")</f>
        <v/>
      </c>
      <c r="M59" s="0" t="str">
        <f aca="false">IF(AND(D59&lt;&gt;"",E59&lt;&gt;""),IF((DATEVALUE(E59)-DATEVALUE(D59))&gt;365,"Long Term","Short Term"),"")</f>
        <v/>
      </c>
    </row>
    <row r="60" customFormat="false" ht="15" hidden="false" customHeight="false" outlineLevel="0" collapsed="false">
      <c r="I60" s="0" t="str">
        <f aca="false">IF(F60&lt;&gt;"",F60*G60,"")</f>
        <v/>
      </c>
      <c r="J60" s="0" t="str">
        <f aca="false">IF(F60&lt;&gt;"",F60*H60,"")</f>
        <v/>
      </c>
      <c r="K60" s="0" t="str">
        <f aca="false">IF(J60&lt;&gt;"",I60-J60,"")</f>
        <v/>
      </c>
      <c r="L60" s="0" t="str">
        <f aca="false">IF(AND(J60&lt;&gt;"",J60&lt;&gt;0),K60/J60,"")</f>
        <v/>
      </c>
      <c r="M60" s="0" t="str">
        <f aca="false">IF(AND(D60&lt;&gt;"",E60&lt;&gt;""),IF((DATEVALUE(E60)-DATEVALUE(D60))&gt;365,"Long Term","Short Term"),"")</f>
        <v/>
      </c>
    </row>
    <row r="61" customFormat="false" ht="15" hidden="false" customHeight="false" outlineLevel="0" collapsed="false">
      <c r="I61" s="0" t="str">
        <f aca="false">IF(F61&lt;&gt;"",F61*G61,"")</f>
        <v/>
      </c>
      <c r="J61" s="0" t="str">
        <f aca="false">IF(F61&lt;&gt;"",F61*H61,"")</f>
        <v/>
      </c>
      <c r="K61" s="0" t="str">
        <f aca="false">IF(J61&lt;&gt;"",I61-J61,"")</f>
        <v/>
      </c>
      <c r="L61" s="0" t="str">
        <f aca="false">IF(AND(J61&lt;&gt;"",J61&lt;&gt;0),K61/J61,"")</f>
        <v/>
      </c>
      <c r="M61" s="0" t="str">
        <f aca="false">IF(AND(D61&lt;&gt;"",E61&lt;&gt;""),IF((DATEVALUE(E61)-DATEVALUE(D61))&gt;365,"Long Term","Short Term"),"")</f>
        <v/>
      </c>
    </row>
    <row r="62" customFormat="false" ht="15" hidden="false" customHeight="false" outlineLevel="0" collapsed="false">
      <c r="I62" s="0" t="str">
        <f aca="false">IF(F62&lt;&gt;"",F62*G62,"")</f>
        <v/>
      </c>
      <c r="J62" s="0" t="str">
        <f aca="false">IF(F62&lt;&gt;"",F62*H62,"")</f>
        <v/>
      </c>
      <c r="K62" s="0" t="str">
        <f aca="false">IF(J62&lt;&gt;"",I62-J62,"")</f>
        <v/>
      </c>
      <c r="L62" s="0" t="str">
        <f aca="false">IF(AND(J62&lt;&gt;"",J62&lt;&gt;0),K62/J62,"")</f>
        <v/>
      </c>
      <c r="M62" s="0" t="str">
        <f aca="false">IF(AND(D62&lt;&gt;"",E62&lt;&gt;""),IF((DATEVALUE(E62)-DATEVALUE(D62))&gt;365,"Long Term","Short Term"),"")</f>
        <v/>
      </c>
    </row>
    <row r="63" customFormat="false" ht="15" hidden="false" customHeight="false" outlineLevel="0" collapsed="false">
      <c r="I63" s="0" t="str">
        <f aca="false">IF(F63&lt;&gt;"",F63*G63,"")</f>
        <v/>
      </c>
      <c r="J63" s="0" t="str">
        <f aca="false">IF(F63&lt;&gt;"",F63*H63,"")</f>
        <v/>
      </c>
      <c r="K63" s="0" t="str">
        <f aca="false">IF(J63&lt;&gt;"",I63-J63,"")</f>
        <v/>
      </c>
      <c r="L63" s="0" t="str">
        <f aca="false">IF(AND(J63&lt;&gt;"",J63&lt;&gt;0),K63/J63,"")</f>
        <v/>
      </c>
      <c r="M63" s="0" t="str">
        <f aca="false">IF(AND(D63&lt;&gt;"",E63&lt;&gt;""),IF((DATEVALUE(E63)-DATEVALUE(D63))&gt;365,"Long Term","Short Term"),"")</f>
        <v/>
      </c>
    </row>
    <row r="64" customFormat="false" ht="15" hidden="false" customHeight="false" outlineLevel="0" collapsed="false">
      <c r="I64" s="0" t="str">
        <f aca="false">IF(F64&lt;&gt;"",F64*G64,"")</f>
        <v/>
      </c>
      <c r="J64" s="0" t="str">
        <f aca="false">IF(F64&lt;&gt;"",F64*H64,"")</f>
        <v/>
      </c>
      <c r="K64" s="0" t="str">
        <f aca="false">IF(J64&lt;&gt;"",I64-J64,"")</f>
        <v/>
      </c>
      <c r="L64" s="0" t="str">
        <f aca="false">IF(AND(J64&lt;&gt;"",J64&lt;&gt;0),K64/J64,"")</f>
        <v/>
      </c>
      <c r="M64" s="0" t="str">
        <f aca="false">IF(AND(D64&lt;&gt;"",E64&lt;&gt;""),IF((DATEVALUE(E64)-DATEVALUE(D64))&gt;365,"Long Term","Short Term"),"")</f>
        <v/>
      </c>
    </row>
    <row r="65" customFormat="false" ht="15" hidden="false" customHeight="false" outlineLevel="0" collapsed="false">
      <c r="I65" s="0" t="str">
        <f aca="false">IF(F65&lt;&gt;"",F65*G65,"")</f>
        <v/>
      </c>
      <c r="J65" s="0" t="str">
        <f aca="false">IF(F65&lt;&gt;"",F65*H65,"")</f>
        <v/>
      </c>
      <c r="K65" s="0" t="str">
        <f aca="false">IF(J65&lt;&gt;"",I65-J65,"")</f>
        <v/>
      </c>
      <c r="L65" s="0" t="str">
        <f aca="false">IF(AND(J65&lt;&gt;"",J65&lt;&gt;0),K65/J65,"")</f>
        <v/>
      </c>
      <c r="M65" s="0" t="str">
        <f aca="false">IF(AND(D65&lt;&gt;"",E65&lt;&gt;""),IF((DATEVALUE(E65)-DATEVALUE(D65))&gt;365,"Long Term","Short Term"),"")</f>
        <v/>
      </c>
    </row>
    <row r="66" customFormat="false" ht="15" hidden="false" customHeight="false" outlineLevel="0" collapsed="false">
      <c r="I66" s="0" t="str">
        <f aca="false">IF(F66&lt;&gt;"",F66*G66,"")</f>
        <v/>
      </c>
      <c r="J66" s="0" t="str">
        <f aca="false">IF(F66&lt;&gt;"",F66*H66,"")</f>
        <v/>
      </c>
      <c r="K66" s="0" t="str">
        <f aca="false">IF(J66&lt;&gt;"",I66-J66,"")</f>
        <v/>
      </c>
      <c r="L66" s="0" t="str">
        <f aca="false">IF(AND(J66&lt;&gt;"",J66&lt;&gt;0),K66/J66,"")</f>
        <v/>
      </c>
      <c r="M66" s="0" t="str">
        <f aca="false">IF(AND(D66&lt;&gt;"",E66&lt;&gt;""),IF((DATEVALUE(E66)-DATEVALUE(D66))&gt;365,"Long Term","Short Term"),"")</f>
        <v/>
      </c>
    </row>
    <row r="67" customFormat="false" ht="15" hidden="false" customHeight="false" outlineLevel="0" collapsed="false">
      <c r="I67" s="0" t="str">
        <f aca="false">IF(F67&lt;&gt;"",F67*G67,"")</f>
        <v/>
      </c>
      <c r="J67" s="0" t="str">
        <f aca="false">IF(F67&lt;&gt;"",F67*H67,"")</f>
        <v/>
      </c>
      <c r="K67" s="0" t="str">
        <f aca="false">IF(J67&lt;&gt;"",I67-J67,"")</f>
        <v/>
      </c>
      <c r="L67" s="0" t="str">
        <f aca="false">IF(AND(J67&lt;&gt;"",J67&lt;&gt;0),K67/J67,"")</f>
        <v/>
      </c>
      <c r="M67" s="0" t="str">
        <f aca="false">IF(AND(D67&lt;&gt;"",E67&lt;&gt;""),IF((DATEVALUE(E67)-DATEVALUE(D67))&gt;365,"Long Term","Short Term"),"")</f>
        <v/>
      </c>
    </row>
    <row r="68" customFormat="false" ht="15" hidden="false" customHeight="false" outlineLevel="0" collapsed="false">
      <c r="I68" s="0" t="str">
        <f aca="false">IF(F68&lt;&gt;"",F68*G68,"")</f>
        <v/>
      </c>
      <c r="J68" s="0" t="str">
        <f aca="false">IF(F68&lt;&gt;"",F68*H68,"")</f>
        <v/>
      </c>
      <c r="K68" s="0" t="str">
        <f aca="false">IF(J68&lt;&gt;"",I68-J68,"")</f>
        <v/>
      </c>
      <c r="L68" s="0" t="str">
        <f aca="false">IF(AND(J68&lt;&gt;"",J68&lt;&gt;0),K68/J68,"")</f>
        <v/>
      </c>
      <c r="M68" s="0" t="str">
        <f aca="false">IF(AND(D68&lt;&gt;"",E68&lt;&gt;""),IF((DATEVALUE(E68)-DATEVALUE(D68))&gt;365,"Long Term","Short Term"),"")</f>
        <v/>
      </c>
    </row>
    <row r="69" customFormat="false" ht="15" hidden="false" customHeight="false" outlineLevel="0" collapsed="false">
      <c r="I69" s="0" t="str">
        <f aca="false">IF(F69&lt;&gt;"",F69*G69,"")</f>
        <v/>
      </c>
      <c r="J69" s="0" t="str">
        <f aca="false">IF(F69&lt;&gt;"",F69*H69,"")</f>
        <v/>
      </c>
      <c r="K69" s="0" t="str">
        <f aca="false">IF(J69&lt;&gt;"",I69-J69,"")</f>
        <v/>
      </c>
      <c r="L69" s="0" t="str">
        <f aca="false">IF(AND(J69&lt;&gt;"",J69&lt;&gt;0),K69/J69,"")</f>
        <v/>
      </c>
      <c r="M69" s="0" t="str">
        <f aca="false">IF(AND(D69&lt;&gt;"",E69&lt;&gt;""),IF((DATEVALUE(E69)-DATEVALUE(D69))&gt;365,"Long Term","Short Term"),"")</f>
        <v/>
      </c>
    </row>
    <row r="70" customFormat="false" ht="15" hidden="false" customHeight="false" outlineLevel="0" collapsed="false">
      <c r="I70" s="0" t="str">
        <f aca="false">IF(F70&lt;&gt;"",F70*G70,"")</f>
        <v/>
      </c>
      <c r="J70" s="0" t="str">
        <f aca="false">IF(F70&lt;&gt;"",F70*H70,"")</f>
        <v/>
      </c>
      <c r="K70" s="0" t="str">
        <f aca="false">IF(J70&lt;&gt;"",I70-J70,"")</f>
        <v/>
      </c>
      <c r="L70" s="0" t="str">
        <f aca="false">IF(AND(J70&lt;&gt;"",J70&lt;&gt;0),K70/J70,"")</f>
        <v/>
      </c>
      <c r="M70" s="0" t="str">
        <f aca="false">IF(AND(D70&lt;&gt;"",E70&lt;&gt;""),IF((DATEVALUE(E70)-DATEVALUE(D70))&gt;365,"Long Term","Short Term"),"")</f>
        <v/>
      </c>
    </row>
    <row r="71" customFormat="false" ht="15" hidden="false" customHeight="false" outlineLevel="0" collapsed="false">
      <c r="I71" s="0" t="str">
        <f aca="false">IF(F71&lt;&gt;"",F71*G71,"")</f>
        <v/>
      </c>
      <c r="J71" s="0" t="str">
        <f aca="false">IF(F71&lt;&gt;"",F71*H71,"")</f>
        <v/>
      </c>
      <c r="K71" s="0" t="str">
        <f aca="false">IF(J71&lt;&gt;"",I71-J71,"")</f>
        <v/>
      </c>
      <c r="L71" s="0" t="str">
        <f aca="false">IF(AND(J71&lt;&gt;"",J71&lt;&gt;0),K71/J71,"")</f>
        <v/>
      </c>
      <c r="M71" s="0" t="str">
        <f aca="false">IF(AND(D71&lt;&gt;"",E71&lt;&gt;""),IF((DATEVALUE(E71)-DATEVALUE(D71))&gt;365,"Long Term","Short Term"),"")</f>
        <v/>
      </c>
    </row>
    <row r="72" customFormat="false" ht="15" hidden="false" customHeight="false" outlineLevel="0" collapsed="false">
      <c r="I72" s="0" t="str">
        <f aca="false">IF(F72&lt;&gt;"",F72*G72,"")</f>
        <v/>
      </c>
      <c r="J72" s="0" t="str">
        <f aca="false">IF(F72&lt;&gt;"",F72*H72,"")</f>
        <v/>
      </c>
      <c r="K72" s="0" t="str">
        <f aca="false">IF(J72&lt;&gt;"",I72-J72,"")</f>
        <v/>
      </c>
      <c r="L72" s="0" t="str">
        <f aca="false">IF(AND(J72&lt;&gt;"",J72&lt;&gt;0),K72/J72,"")</f>
        <v/>
      </c>
      <c r="M72" s="0" t="str">
        <f aca="false">IF(AND(D72&lt;&gt;"",E72&lt;&gt;""),IF((DATEVALUE(E72)-DATEVALUE(D72))&gt;365,"Long Term","Short Term"),"")</f>
        <v/>
      </c>
    </row>
    <row r="73" customFormat="false" ht="15" hidden="false" customHeight="false" outlineLevel="0" collapsed="false">
      <c r="I73" s="0" t="str">
        <f aca="false">IF(F73&lt;&gt;"",F73*G73,"")</f>
        <v/>
      </c>
      <c r="J73" s="0" t="str">
        <f aca="false">IF(F73&lt;&gt;"",F73*H73,"")</f>
        <v/>
      </c>
      <c r="K73" s="0" t="str">
        <f aca="false">IF(J73&lt;&gt;"",I73-J73,"")</f>
        <v/>
      </c>
      <c r="L73" s="0" t="str">
        <f aca="false">IF(AND(J73&lt;&gt;"",J73&lt;&gt;0),K73/J73,"")</f>
        <v/>
      </c>
      <c r="M73" s="0" t="str">
        <f aca="false">IF(AND(D73&lt;&gt;"",E73&lt;&gt;""),IF((DATEVALUE(E73)-DATEVALUE(D73))&gt;365,"Long Term","Short Term"),"")</f>
        <v/>
      </c>
    </row>
    <row r="74" customFormat="false" ht="15" hidden="false" customHeight="false" outlineLevel="0" collapsed="false">
      <c r="I74" s="0" t="str">
        <f aca="false">IF(F74&lt;&gt;"",F74*G74,"")</f>
        <v/>
      </c>
      <c r="J74" s="0" t="str">
        <f aca="false">IF(F74&lt;&gt;"",F74*H74,"")</f>
        <v/>
      </c>
      <c r="K74" s="0" t="str">
        <f aca="false">IF(J74&lt;&gt;"",I74-J74,"")</f>
        <v/>
      </c>
      <c r="L74" s="0" t="str">
        <f aca="false">IF(AND(J74&lt;&gt;"",J74&lt;&gt;0),K74/J74,"")</f>
        <v/>
      </c>
      <c r="M74" s="0" t="str">
        <f aca="false">IF(AND(D74&lt;&gt;"",E74&lt;&gt;""),IF((DATEVALUE(E74)-DATEVALUE(D74))&gt;365,"Long Term","Short Term"),"")</f>
        <v/>
      </c>
    </row>
    <row r="75" customFormat="false" ht="15" hidden="false" customHeight="false" outlineLevel="0" collapsed="false">
      <c r="I75" s="0" t="str">
        <f aca="false">IF(F75&lt;&gt;"",F75*G75,"")</f>
        <v/>
      </c>
      <c r="J75" s="0" t="str">
        <f aca="false">IF(F75&lt;&gt;"",F75*H75,"")</f>
        <v/>
      </c>
      <c r="K75" s="0" t="str">
        <f aca="false">IF(J75&lt;&gt;"",I75-J75,"")</f>
        <v/>
      </c>
      <c r="L75" s="0" t="str">
        <f aca="false">IF(AND(J75&lt;&gt;"",J75&lt;&gt;0),K75/J75,"")</f>
        <v/>
      </c>
      <c r="M75" s="0" t="str">
        <f aca="false">IF(AND(D75&lt;&gt;"",E75&lt;&gt;""),IF((DATEVALUE(E75)-DATEVALUE(D75))&gt;365,"Long Term","Short Term"),"")</f>
        <v/>
      </c>
    </row>
    <row r="76" customFormat="false" ht="15" hidden="false" customHeight="false" outlineLevel="0" collapsed="false">
      <c r="I76" s="0" t="str">
        <f aca="false">IF(F76&lt;&gt;"",F76*G76,"")</f>
        <v/>
      </c>
      <c r="J76" s="0" t="str">
        <f aca="false">IF(F76&lt;&gt;"",F76*H76,"")</f>
        <v/>
      </c>
      <c r="K76" s="0" t="str">
        <f aca="false">IF(J76&lt;&gt;"",I76-J76,"")</f>
        <v/>
      </c>
      <c r="L76" s="0" t="str">
        <f aca="false">IF(AND(J76&lt;&gt;"",J76&lt;&gt;0),K76/J76,"")</f>
        <v/>
      </c>
      <c r="M76" s="0" t="str">
        <f aca="false">IF(AND(D76&lt;&gt;"",E76&lt;&gt;""),IF((DATEVALUE(E76)-DATEVALUE(D76))&gt;365,"Long Term","Short Term"),"")</f>
        <v/>
      </c>
    </row>
    <row r="77" customFormat="false" ht="15" hidden="false" customHeight="false" outlineLevel="0" collapsed="false">
      <c r="I77" s="0" t="str">
        <f aca="false">IF(F77&lt;&gt;"",F77*G77,"")</f>
        <v/>
      </c>
      <c r="J77" s="0" t="str">
        <f aca="false">IF(F77&lt;&gt;"",F77*H77,"")</f>
        <v/>
      </c>
      <c r="K77" s="0" t="str">
        <f aca="false">IF(J77&lt;&gt;"",I77-J77,"")</f>
        <v/>
      </c>
      <c r="L77" s="0" t="str">
        <f aca="false">IF(AND(J77&lt;&gt;"",J77&lt;&gt;0),K77/J77,"")</f>
        <v/>
      </c>
      <c r="M77" s="0" t="str">
        <f aca="false">IF(AND(D77&lt;&gt;"",E77&lt;&gt;""),IF((DATEVALUE(E77)-DATEVALUE(D77))&gt;365,"Long Term","Short Term"),"")</f>
        <v/>
      </c>
    </row>
    <row r="78" customFormat="false" ht="15" hidden="false" customHeight="false" outlineLevel="0" collapsed="false">
      <c r="I78" s="0" t="str">
        <f aca="false">IF(F78&lt;&gt;"",F78*G78,"")</f>
        <v/>
      </c>
      <c r="J78" s="0" t="str">
        <f aca="false">IF(F78&lt;&gt;"",F78*H78,"")</f>
        <v/>
      </c>
      <c r="K78" s="0" t="str">
        <f aca="false">IF(J78&lt;&gt;"",I78-J78,"")</f>
        <v/>
      </c>
      <c r="L78" s="0" t="str">
        <f aca="false">IF(AND(J78&lt;&gt;"",J78&lt;&gt;0),K78/J78,"")</f>
        <v/>
      </c>
      <c r="M78" s="0" t="str">
        <f aca="false">IF(AND(D78&lt;&gt;"",E78&lt;&gt;""),IF((DATEVALUE(E78)-DATEVALUE(D78))&gt;365,"Long Term","Short Term"),"")</f>
        <v/>
      </c>
    </row>
    <row r="79" customFormat="false" ht="15" hidden="false" customHeight="false" outlineLevel="0" collapsed="false">
      <c r="I79" s="0" t="str">
        <f aca="false">IF(F79&lt;&gt;"",F79*G79,"")</f>
        <v/>
      </c>
      <c r="J79" s="0" t="str">
        <f aca="false">IF(F79&lt;&gt;"",F79*H79,"")</f>
        <v/>
      </c>
      <c r="K79" s="0" t="str">
        <f aca="false">IF(J79&lt;&gt;"",I79-J79,"")</f>
        <v/>
      </c>
      <c r="L79" s="0" t="str">
        <f aca="false">IF(AND(J79&lt;&gt;"",J79&lt;&gt;0),K79/J79,"")</f>
        <v/>
      </c>
      <c r="M79" s="0" t="str">
        <f aca="false">IF(AND(D79&lt;&gt;"",E79&lt;&gt;""),IF((DATEVALUE(E79)-DATEVALUE(D79))&gt;365,"Long Term","Short Term"),"")</f>
        <v/>
      </c>
    </row>
    <row r="80" customFormat="false" ht="15" hidden="false" customHeight="false" outlineLevel="0" collapsed="false">
      <c r="I80" s="0" t="str">
        <f aca="false">IF(F80&lt;&gt;"",F80*G80,"")</f>
        <v/>
      </c>
      <c r="J80" s="0" t="str">
        <f aca="false">IF(F80&lt;&gt;"",F80*H80,"")</f>
        <v/>
      </c>
      <c r="K80" s="0" t="str">
        <f aca="false">IF(J80&lt;&gt;"",I80-J80,"")</f>
        <v/>
      </c>
      <c r="L80" s="0" t="str">
        <f aca="false">IF(AND(J80&lt;&gt;"",J80&lt;&gt;0),K80/J80,"")</f>
        <v/>
      </c>
      <c r="M80" s="0" t="str">
        <f aca="false">IF(AND(D80&lt;&gt;"",E80&lt;&gt;""),IF((DATEVALUE(E80)-DATEVALUE(D80))&gt;365,"Long Term","Short Term"),"")</f>
        <v/>
      </c>
    </row>
    <row r="81" customFormat="false" ht="15" hidden="false" customHeight="false" outlineLevel="0" collapsed="false">
      <c r="I81" s="0" t="str">
        <f aca="false">IF(F81&lt;&gt;"",F81*G81,"")</f>
        <v/>
      </c>
      <c r="J81" s="0" t="str">
        <f aca="false">IF(F81&lt;&gt;"",F81*H81,"")</f>
        <v/>
      </c>
      <c r="K81" s="0" t="str">
        <f aca="false">IF(J81&lt;&gt;"",I81-J81,"")</f>
        <v/>
      </c>
      <c r="L81" s="0" t="str">
        <f aca="false">IF(AND(J81&lt;&gt;"",J81&lt;&gt;0),K81/J81,"")</f>
        <v/>
      </c>
      <c r="M81" s="0" t="str">
        <f aca="false">IF(AND(D81&lt;&gt;"",E81&lt;&gt;""),IF((DATEVALUE(E81)-DATEVALUE(D81))&gt;365,"Long Term","Short Term"),"")</f>
        <v/>
      </c>
    </row>
    <row r="82" customFormat="false" ht="15" hidden="false" customHeight="false" outlineLevel="0" collapsed="false">
      <c r="I82" s="0" t="str">
        <f aca="false">IF(F82&lt;&gt;"",F82*G82,"")</f>
        <v/>
      </c>
      <c r="J82" s="0" t="str">
        <f aca="false">IF(F82&lt;&gt;"",F82*H82,"")</f>
        <v/>
      </c>
      <c r="K82" s="0" t="str">
        <f aca="false">IF(J82&lt;&gt;"",I82-J82,"")</f>
        <v/>
      </c>
      <c r="L82" s="0" t="str">
        <f aca="false">IF(AND(J82&lt;&gt;"",J82&lt;&gt;0),K82/J82,"")</f>
        <v/>
      </c>
      <c r="M82" s="0" t="str">
        <f aca="false">IF(AND(D82&lt;&gt;"",E82&lt;&gt;""),IF((DATEVALUE(E82)-DATEVALUE(D82))&gt;365,"Long Term","Short Term"),"")</f>
        <v/>
      </c>
    </row>
    <row r="83" customFormat="false" ht="15" hidden="false" customHeight="false" outlineLevel="0" collapsed="false">
      <c r="I83" s="0" t="str">
        <f aca="false">IF(F83&lt;&gt;"",F83*G83,"")</f>
        <v/>
      </c>
      <c r="J83" s="0" t="str">
        <f aca="false">IF(F83&lt;&gt;"",F83*H83,"")</f>
        <v/>
      </c>
      <c r="K83" s="0" t="str">
        <f aca="false">IF(J83&lt;&gt;"",I83-J83,"")</f>
        <v/>
      </c>
      <c r="L83" s="0" t="str">
        <f aca="false">IF(AND(J83&lt;&gt;"",J83&lt;&gt;0),K83/J83,"")</f>
        <v/>
      </c>
      <c r="M83" s="0" t="str">
        <f aca="false">IF(AND(D83&lt;&gt;"",E83&lt;&gt;""),IF((DATEVALUE(E83)-DATEVALUE(D83))&gt;365,"Long Term","Short Term"),"")</f>
        <v/>
      </c>
    </row>
    <row r="84" customFormat="false" ht="15" hidden="false" customHeight="false" outlineLevel="0" collapsed="false">
      <c r="I84" s="0" t="str">
        <f aca="false">IF(F84&lt;&gt;"",F84*G84,"")</f>
        <v/>
      </c>
      <c r="J84" s="0" t="str">
        <f aca="false">IF(F84&lt;&gt;"",F84*H84,"")</f>
        <v/>
      </c>
      <c r="K84" s="0" t="str">
        <f aca="false">IF(J84&lt;&gt;"",I84-J84,"")</f>
        <v/>
      </c>
      <c r="L84" s="0" t="str">
        <f aca="false">IF(AND(J84&lt;&gt;"",J84&lt;&gt;0),K84/J84,"")</f>
        <v/>
      </c>
      <c r="M84" s="0" t="str">
        <f aca="false">IF(AND(D84&lt;&gt;"",E84&lt;&gt;""),IF((DATEVALUE(E84)-DATEVALUE(D84))&gt;365,"Long Term","Short Term"),"")</f>
        <v/>
      </c>
    </row>
    <row r="85" customFormat="false" ht="15" hidden="false" customHeight="false" outlineLevel="0" collapsed="false">
      <c r="I85" s="0" t="str">
        <f aca="false">IF(F85&lt;&gt;"",F85*G85,"")</f>
        <v/>
      </c>
      <c r="J85" s="0" t="str">
        <f aca="false">IF(F85&lt;&gt;"",F85*H85,"")</f>
        <v/>
      </c>
      <c r="K85" s="0" t="str">
        <f aca="false">IF(J85&lt;&gt;"",I85-J85,"")</f>
        <v/>
      </c>
      <c r="L85" s="0" t="str">
        <f aca="false">IF(AND(J85&lt;&gt;"",J85&lt;&gt;0),K85/J85,"")</f>
        <v/>
      </c>
      <c r="M85" s="0" t="str">
        <f aca="false">IF(AND(D85&lt;&gt;"",E85&lt;&gt;""),IF((DATEVALUE(E85)-DATEVALUE(D85))&gt;365,"Long Term","Short Term"),"")</f>
        <v/>
      </c>
    </row>
    <row r="86" customFormat="false" ht="15" hidden="false" customHeight="false" outlineLevel="0" collapsed="false">
      <c r="I86" s="0" t="str">
        <f aca="false">IF(F86&lt;&gt;"",F86*G86,"")</f>
        <v/>
      </c>
      <c r="J86" s="0" t="str">
        <f aca="false">IF(F86&lt;&gt;"",F86*H86,"")</f>
        <v/>
      </c>
      <c r="K86" s="0" t="str">
        <f aca="false">IF(J86&lt;&gt;"",I86-J86,"")</f>
        <v/>
      </c>
      <c r="L86" s="0" t="str">
        <f aca="false">IF(AND(J86&lt;&gt;"",J86&lt;&gt;0),K86/J86,"")</f>
        <v/>
      </c>
      <c r="M86" s="0" t="str">
        <f aca="false">IF(AND(D86&lt;&gt;"",E86&lt;&gt;""),IF((DATEVALUE(E86)-DATEVALUE(D86))&gt;365,"Long Term","Short Term"),"")</f>
        <v/>
      </c>
    </row>
    <row r="87" customFormat="false" ht="15" hidden="false" customHeight="false" outlineLevel="0" collapsed="false">
      <c r="I87" s="0" t="str">
        <f aca="false">IF(F87&lt;&gt;"",F87*G87,"")</f>
        <v/>
      </c>
      <c r="J87" s="0" t="str">
        <f aca="false">IF(F87&lt;&gt;"",F87*H87,"")</f>
        <v/>
      </c>
      <c r="K87" s="0" t="str">
        <f aca="false">IF(J87&lt;&gt;"",I87-J87,"")</f>
        <v/>
      </c>
      <c r="L87" s="0" t="str">
        <f aca="false">IF(AND(J87&lt;&gt;"",J87&lt;&gt;0),K87/J87,"")</f>
        <v/>
      </c>
      <c r="M87" s="0" t="str">
        <f aca="false">IF(AND(D87&lt;&gt;"",E87&lt;&gt;""),IF((DATEVALUE(E87)-DATEVALUE(D87))&gt;365,"Long Term","Short Term"),"")</f>
        <v/>
      </c>
    </row>
    <row r="88" customFormat="false" ht="15" hidden="false" customHeight="false" outlineLevel="0" collapsed="false">
      <c r="I88" s="0" t="str">
        <f aca="false">IF(F88&lt;&gt;"",F88*G88,"")</f>
        <v/>
      </c>
      <c r="J88" s="0" t="str">
        <f aca="false">IF(F88&lt;&gt;"",F88*H88,"")</f>
        <v/>
      </c>
      <c r="K88" s="0" t="str">
        <f aca="false">IF(J88&lt;&gt;"",I88-J88,"")</f>
        <v/>
      </c>
      <c r="L88" s="0" t="str">
        <f aca="false">IF(AND(J88&lt;&gt;"",J88&lt;&gt;0),K88/J88,"")</f>
        <v/>
      </c>
      <c r="M88" s="0" t="str">
        <f aca="false">IF(AND(D88&lt;&gt;"",E88&lt;&gt;""),IF((DATEVALUE(E88)-DATEVALUE(D88))&gt;365,"Long Term","Short Term"),"")</f>
        <v/>
      </c>
    </row>
    <row r="89" customFormat="false" ht="15" hidden="false" customHeight="false" outlineLevel="0" collapsed="false">
      <c r="I89" s="0" t="str">
        <f aca="false">IF(F89&lt;&gt;"",F89*G89,"")</f>
        <v/>
      </c>
      <c r="J89" s="0" t="str">
        <f aca="false">IF(F89&lt;&gt;"",F89*H89,"")</f>
        <v/>
      </c>
      <c r="K89" s="0" t="str">
        <f aca="false">IF(J89&lt;&gt;"",I89-J89,"")</f>
        <v/>
      </c>
      <c r="L89" s="0" t="str">
        <f aca="false">IF(AND(J89&lt;&gt;"",J89&lt;&gt;0),K89/J89,"")</f>
        <v/>
      </c>
      <c r="M89" s="0" t="str">
        <f aca="false">IF(AND(D89&lt;&gt;"",E89&lt;&gt;""),IF((DATEVALUE(E89)-DATEVALUE(D89))&gt;365,"Long Term","Short Term"),"")</f>
        <v/>
      </c>
    </row>
    <row r="90" customFormat="false" ht="15" hidden="false" customHeight="false" outlineLevel="0" collapsed="false">
      <c r="I90" s="0" t="str">
        <f aca="false">IF(F90&lt;&gt;"",F90*G90,"")</f>
        <v/>
      </c>
      <c r="J90" s="0" t="str">
        <f aca="false">IF(F90&lt;&gt;"",F90*H90,"")</f>
        <v/>
      </c>
      <c r="K90" s="0" t="str">
        <f aca="false">IF(J90&lt;&gt;"",I90-J90,"")</f>
        <v/>
      </c>
      <c r="L90" s="0" t="str">
        <f aca="false">IF(AND(J90&lt;&gt;"",J90&lt;&gt;0),K90/J90,"")</f>
        <v/>
      </c>
      <c r="M90" s="0" t="str">
        <f aca="false">IF(AND(D90&lt;&gt;"",E90&lt;&gt;""),IF((DATEVALUE(E90)-DATEVALUE(D90))&gt;365,"Long Term","Short Term"),"")</f>
        <v/>
      </c>
    </row>
    <row r="91" customFormat="false" ht="15" hidden="false" customHeight="false" outlineLevel="0" collapsed="false">
      <c r="I91" s="0" t="str">
        <f aca="false">IF(F91&lt;&gt;"",F91*G91,"")</f>
        <v/>
      </c>
      <c r="J91" s="0" t="str">
        <f aca="false">IF(F91&lt;&gt;"",F91*H91,"")</f>
        <v/>
      </c>
      <c r="K91" s="0" t="str">
        <f aca="false">IF(J91&lt;&gt;"",I91-J91,"")</f>
        <v/>
      </c>
      <c r="L91" s="0" t="str">
        <f aca="false">IF(AND(J91&lt;&gt;"",J91&lt;&gt;0),K91/J91,"")</f>
        <v/>
      </c>
      <c r="M91" s="0" t="str">
        <f aca="false">IF(AND(D91&lt;&gt;"",E91&lt;&gt;""),IF((DATEVALUE(E91)-DATEVALUE(D91))&gt;365,"Long Term","Short Term"),"")</f>
        <v/>
      </c>
    </row>
    <row r="92" customFormat="false" ht="15" hidden="false" customHeight="false" outlineLevel="0" collapsed="false">
      <c r="I92" s="0" t="str">
        <f aca="false">IF(F92&lt;&gt;"",F92*G92,"")</f>
        <v/>
      </c>
      <c r="J92" s="0" t="str">
        <f aca="false">IF(F92&lt;&gt;"",F92*H92,"")</f>
        <v/>
      </c>
      <c r="K92" s="0" t="str">
        <f aca="false">IF(J92&lt;&gt;"",I92-J92,"")</f>
        <v/>
      </c>
      <c r="L92" s="0" t="str">
        <f aca="false">IF(AND(J92&lt;&gt;"",J92&lt;&gt;0),K92/J92,"")</f>
        <v/>
      </c>
      <c r="M92" s="0" t="str">
        <f aca="false">IF(AND(D92&lt;&gt;"",E92&lt;&gt;""),IF((DATEVALUE(E92)-DATEVALUE(D92))&gt;365,"Long Term","Short Term"),"")</f>
        <v/>
      </c>
    </row>
    <row r="93" customFormat="false" ht="15" hidden="false" customHeight="false" outlineLevel="0" collapsed="false">
      <c r="I93" s="0" t="str">
        <f aca="false">IF(F93&lt;&gt;"",F93*G93,"")</f>
        <v/>
      </c>
      <c r="J93" s="0" t="str">
        <f aca="false">IF(F93&lt;&gt;"",F93*H93,"")</f>
        <v/>
      </c>
      <c r="K93" s="0" t="str">
        <f aca="false">IF(J93&lt;&gt;"",I93-J93,"")</f>
        <v/>
      </c>
      <c r="L93" s="0" t="str">
        <f aca="false">IF(AND(J93&lt;&gt;"",J93&lt;&gt;0),K93/J93,"")</f>
        <v/>
      </c>
      <c r="M93" s="0" t="str">
        <f aca="false">IF(AND(D93&lt;&gt;"",E93&lt;&gt;""),IF((DATEVALUE(E93)-DATEVALUE(D93))&gt;365,"Long Term","Short Term"),"")</f>
        <v/>
      </c>
    </row>
    <row r="94" customFormat="false" ht="15" hidden="false" customHeight="false" outlineLevel="0" collapsed="false">
      <c r="I94" s="0" t="str">
        <f aca="false">IF(F94&lt;&gt;"",F94*G94,"")</f>
        <v/>
      </c>
      <c r="J94" s="0" t="str">
        <f aca="false">IF(F94&lt;&gt;"",F94*H94,"")</f>
        <v/>
      </c>
      <c r="K94" s="0" t="str">
        <f aca="false">IF(J94&lt;&gt;"",I94-J94,"")</f>
        <v/>
      </c>
      <c r="L94" s="0" t="str">
        <f aca="false">IF(AND(J94&lt;&gt;"",J94&lt;&gt;0),K94/J94,"")</f>
        <v/>
      </c>
      <c r="M94" s="0" t="str">
        <f aca="false">IF(AND(D94&lt;&gt;"",E94&lt;&gt;""),IF((DATEVALUE(E94)-DATEVALUE(D94))&gt;365,"Long Term","Short Term"),"")</f>
        <v/>
      </c>
    </row>
    <row r="95" customFormat="false" ht="15" hidden="false" customHeight="false" outlineLevel="0" collapsed="false">
      <c r="I95" s="0" t="str">
        <f aca="false">IF(F95&lt;&gt;"",F95*G95,"")</f>
        <v/>
      </c>
      <c r="J95" s="0" t="str">
        <f aca="false">IF(F95&lt;&gt;"",F95*H95,"")</f>
        <v/>
      </c>
      <c r="K95" s="0" t="str">
        <f aca="false">IF(J95&lt;&gt;"",I95-J95,"")</f>
        <v/>
      </c>
      <c r="L95" s="0" t="str">
        <f aca="false">IF(AND(J95&lt;&gt;"",J95&lt;&gt;0),K95/J95,"")</f>
        <v/>
      </c>
      <c r="M95" s="0" t="str">
        <f aca="false">IF(AND(D95&lt;&gt;"",E95&lt;&gt;""),IF((DATEVALUE(E95)-DATEVALUE(D95))&gt;365,"Long Term","Short Term"),"")</f>
        <v/>
      </c>
    </row>
    <row r="96" customFormat="false" ht="15" hidden="false" customHeight="false" outlineLevel="0" collapsed="false">
      <c r="I96" s="0" t="str">
        <f aca="false">IF(F96&lt;&gt;"",F96*G96,"")</f>
        <v/>
      </c>
      <c r="J96" s="0" t="str">
        <f aca="false">IF(F96&lt;&gt;"",F96*H96,"")</f>
        <v/>
      </c>
      <c r="K96" s="0" t="str">
        <f aca="false">IF(J96&lt;&gt;"",I96-J96,"")</f>
        <v/>
      </c>
      <c r="L96" s="0" t="str">
        <f aca="false">IF(AND(J96&lt;&gt;"",J96&lt;&gt;0),K96/J96,"")</f>
        <v/>
      </c>
      <c r="M96" s="0" t="str">
        <f aca="false">IF(AND(D96&lt;&gt;"",E96&lt;&gt;""),IF((DATEVALUE(E96)-DATEVALUE(D96))&gt;365,"Long Term","Short Term"),"")</f>
        <v/>
      </c>
    </row>
    <row r="97" customFormat="false" ht="15" hidden="false" customHeight="false" outlineLevel="0" collapsed="false">
      <c r="I97" s="0" t="str">
        <f aca="false">IF(F97&lt;&gt;"",F97*G97,"")</f>
        <v/>
      </c>
      <c r="J97" s="0" t="str">
        <f aca="false">IF(F97&lt;&gt;"",F97*H97,"")</f>
        <v/>
      </c>
      <c r="K97" s="0" t="str">
        <f aca="false">IF(J97&lt;&gt;"",I97-J97,"")</f>
        <v/>
      </c>
      <c r="L97" s="0" t="str">
        <f aca="false">IF(AND(J97&lt;&gt;"",J97&lt;&gt;0),K97/J97,"")</f>
        <v/>
      </c>
      <c r="M97" s="0" t="str">
        <f aca="false">IF(AND(D97&lt;&gt;"",E97&lt;&gt;""),IF((DATEVALUE(E97)-DATEVALUE(D97))&gt;365,"Long Term","Short Term"),"")</f>
        <v/>
      </c>
    </row>
    <row r="98" customFormat="false" ht="15" hidden="false" customHeight="false" outlineLevel="0" collapsed="false">
      <c r="I98" s="0" t="str">
        <f aca="false">IF(F98&lt;&gt;"",F98*G98,"")</f>
        <v/>
      </c>
      <c r="J98" s="0" t="str">
        <f aca="false">IF(F98&lt;&gt;"",F98*H98,"")</f>
        <v/>
      </c>
      <c r="K98" s="0" t="str">
        <f aca="false">IF(J98&lt;&gt;"",I98-J98,"")</f>
        <v/>
      </c>
      <c r="L98" s="0" t="str">
        <f aca="false">IF(AND(J98&lt;&gt;"",J98&lt;&gt;0),K98/J98,"")</f>
        <v/>
      </c>
      <c r="M98" s="0" t="str">
        <f aca="false">IF(AND(D98&lt;&gt;"",E98&lt;&gt;""),IF((DATEVALUE(E98)-DATEVALUE(D98))&gt;365,"Long Term","Short Term"),"")</f>
        <v/>
      </c>
    </row>
    <row r="99" customFormat="false" ht="15" hidden="false" customHeight="false" outlineLevel="0" collapsed="false">
      <c r="I99" s="0" t="str">
        <f aca="false">IF(F99&lt;&gt;"",F99*G99,"")</f>
        <v/>
      </c>
      <c r="J99" s="0" t="str">
        <f aca="false">IF(F99&lt;&gt;"",F99*H99,"")</f>
        <v/>
      </c>
      <c r="K99" s="0" t="str">
        <f aca="false">IF(J99&lt;&gt;"",I99-J99,"")</f>
        <v/>
      </c>
      <c r="L99" s="0" t="str">
        <f aca="false">IF(AND(J99&lt;&gt;"",J99&lt;&gt;0),K99/J99,"")</f>
        <v/>
      </c>
      <c r="M99" s="0" t="str">
        <f aca="false">IF(AND(D99&lt;&gt;"",E99&lt;&gt;""),IF((DATEVALUE(E99)-DATEVALUE(D99))&gt;365,"Long Term","Short Term"),"")</f>
        <v/>
      </c>
    </row>
    <row r="100" customFormat="false" ht="15" hidden="false" customHeight="false" outlineLevel="0" collapsed="false">
      <c r="I100" s="0" t="str">
        <f aca="false">IF(F100&lt;&gt;"",F100*G100,"")</f>
        <v/>
      </c>
      <c r="J100" s="0" t="str">
        <f aca="false">IF(F100&lt;&gt;"",F100*H100,"")</f>
        <v/>
      </c>
      <c r="K100" s="0" t="str">
        <f aca="false">IF(J100&lt;&gt;"",I100-J100,"")</f>
        <v/>
      </c>
      <c r="L100" s="0" t="str">
        <f aca="false">IF(AND(J100&lt;&gt;"",J100&lt;&gt;0),K100/J100,"")</f>
        <v/>
      </c>
      <c r="M100" s="0" t="str">
        <f aca="false">IF(AND(D100&lt;&gt;"",E100&lt;&gt;""),IF((DATEVALUE(E100)-DATEVALUE(D100))&gt;365,"Long Term","Short Term"),"")</f>
        <v/>
      </c>
    </row>
    <row r="101" customFormat="false" ht="15" hidden="false" customHeight="false" outlineLevel="0" collapsed="false">
      <c r="I101" s="0" t="str">
        <f aca="false">IF(F101&lt;&gt;"",F101*G101,"")</f>
        <v/>
      </c>
      <c r="J101" s="0" t="str">
        <f aca="false">IF(F101&lt;&gt;"",F101*H101,"")</f>
        <v/>
      </c>
      <c r="K101" s="0" t="str">
        <f aca="false">IF(J101&lt;&gt;"",I101-J101,"")</f>
        <v/>
      </c>
      <c r="L101" s="0" t="str">
        <f aca="false">IF(AND(J101&lt;&gt;"",J101&lt;&gt;0),K101/J101,"")</f>
        <v/>
      </c>
      <c r="M101" s="0" t="str">
        <f aca="false">IF(AND(D101&lt;&gt;"",E101&lt;&gt;""),IF((DATEVALUE(E101)-DATEVALUE(D101))&gt;365,"Long Term","Short Term"),"")</f>
        <v/>
      </c>
    </row>
    <row r="102" customFormat="false" ht="15" hidden="false" customHeight="false" outlineLevel="0" collapsed="false">
      <c r="I102" s="0" t="str">
        <f aca="false">IF(F102&lt;&gt;"",F102*G102,"")</f>
        <v/>
      </c>
      <c r="J102" s="0" t="str">
        <f aca="false">IF(F102&lt;&gt;"",F102*H102,"")</f>
        <v/>
      </c>
      <c r="K102" s="0" t="str">
        <f aca="false">IF(J102&lt;&gt;"",I102-J102,"")</f>
        <v/>
      </c>
      <c r="L102" s="0" t="str">
        <f aca="false">IF(AND(J102&lt;&gt;"",J102&lt;&gt;0),K102/J102,"")</f>
        <v/>
      </c>
      <c r="M102" s="0" t="str">
        <f aca="false">IF(AND(D102&lt;&gt;"",E102&lt;&gt;""),IF((DATEVALUE(E102)-DATEVALUE(D102))&gt;365,"Long Term","Short Term"),"")</f>
        <v/>
      </c>
    </row>
    <row r="103" customFormat="false" ht="15" hidden="false" customHeight="false" outlineLevel="0" collapsed="false">
      <c r="I103" s="0" t="str">
        <f aca="false">IF(F103&lt;&gt;"",F103*G103,"")</f>
        <v/>
      </c>
      <c r="J103" s="0" t="str">
        <f aca="false">IF(F103&lt;&gt;"",F103*H103,"")</f>
        <v/>
      </c>
      <c r="K103" s="0" t="str">
        <f aca="false">IF(J103&lt;&gt;"",I103-J103,"")</f>
        <v/>
      </c>
      <c r="L103" s="0" t="str">
        <f aca="false">IF(AND(J103&lt;&gt;"",J103&lt;&gt;0),K103/J103,"")</f>
        <v/>
      </c>
      <c r="M103" s="0" t="str">
        <f aca="false">IF(AND(D103&lt;&gt;"",E103&lt;&gt;""),IF((DATEVALUE(E103)-DATEVALUE(D103))&gt;365,"Long Term","Short Term"),"")</f>
        <v/>
      </c>
    </row>
    <row r="104" customFormat="false" ht="15" hidden="false" customHeight="false" outlineLevel="0" collapsed="false">
      <c r="I104" s="0" t="str">
        <f aca="false">IF(F104&lt;&gt;"",F104*G104,"")</f>
        <v/>
      </c>
      <c r="J104" s="0" t="str">
        <f aca="false">IF(F104&lt;&gt;"",F104*H104,"")</f>
        <v/>
      </c>
      <c r="K104" s="0" t="str">
        <f aca="false">IF(J104&lt;&gt;"",I104-J104,"")</f>
        <v/>
      </c>
      <c r="L104" s="0" t="str">
        <f aca="false">IF(AND(J104&lt;&gt;"",J104&lt;&gt;0),K104/J104,"")</f>
        <v/>
      </c>
      <c r="M104" s="0" t="str">
        <f aca="false">IF(AND(D104&lt;&gt;"",E104&lt;&gt;""),IF((DATEVALUE(E104)-DATEVALUE(D104))&gt;365,"Long Term","Short Term"),"")</f>
        <v/>
      </c>
    </row>
    <row r="105" customFormat="false" ht="15" hidden="false" customHeight="false" outlineLevel="0" collapsed="false">
      <c r="I105" s="0" t="str">
        <f aca="false">IF(F105&lt;&gt;"",F105*G105,"")</f>
        <v/>
      </c>
      <c r="J105" s="0" t="str">
        <f aca="false">IF(F105&lt;&gt;"",F105*H105,"")</f>
        <v/>
      </c>
      <c r="K105" s="0" t="str">
        <f aca="false">IF(J105&lt;&gt;"",I105-J105,"")</f>
        <v/>
      </c>
      <c r="L105" s="0" t="str">
        <f aca="false">IF(AND(J105&lt;&gt;"",J105&lt;&gt;0),K105/J105,"")</f>
        <v/>
      </c>
      <c r="M105" s="0" t="str">
        <f aca="false">IF(AND(D105&lt;&gt;"",E105&lt;&gt;""),IF((DATEVALUE(E105)-DATEVALUE(D105))&gt;365,"Long Term","Short Term"),"")</f>
        <v/>
      </c>
    </row>
    <row r="106" customFormat="false" ht="15" hidden="false" customHeight="false" outlineLevel="0" collapsed="false">
      <c r="I106" s="0" t="str">
        <f aca="false">IF(F106&lt;&gt;"",F106*G106,"")</f>
        <v/>
      </c>
      <c r="J106" s="0" t="str">
        <f aca="false">IF(F106&lt;&gt;"",F106*H106,"")</f>
        <v/>
      </c>
      <c r="K106" s="0" t="str">
        <f aca="false">IF(J106&lt;&gt;"",I106-J106,"")</f>
        <v/>
      </c>
      <c r="L106" s="0" t="str">
        <f aca="false">IF(AND(J106&lt;&gt;"",J106&lt;&gt;0),K106/J106,"")</f>
        <v/>
      </c>
      <c r="M106" s="0" t="str">
        <f aca="false">IF(AND(D106&lt;&gt;"",E106&lt;&gt;""),IF((DATEVALUE(E106)-DATEVALUE(D106))&gt;365,"Long Term","Short Term"),"")</f>
        <v/>
      </c>
    </row>
    <row r="107" customFormat="false" ht="15" hidden="false" customHeight="false" outlineLevel="0" collapsed="false">
      <c r="I107" s="0" t="str">
        <f aca="false">IF(F107&lt;&gt;"",F107*G107,"")</f>
        <v/>
      </c>
      <c r="J107" s="0" t="str">
        <f aca="false">IF(F107&lt;&gt;"",F107*H107,"")</f>
        <v/>
      </c>
      <c r="K107" s="0" t="str">
        <f aca="false">IF(J107&lt;&gt;"",I107-J107,"")</f>
        <v/>
      </c>
      <c r="L107" s="0" t="str">
        <f aca="false">IF(AND(J107&lt;&gt;"",J107&lt;&gt;0),K107/J107,"")</f>
        <v/>
      </c>
      <c r="M107" s="0" t="str">
        <f aca="false">IF(AND(D107&lt;&gt;"",E107&lt;&gt;""),IF((DATEVALUE(E107)-DATEVALUE(D107))&gt;365,"Long Term","Short Term"),"")</f>
        <v/>
      </c>
    </row>
    <row r="108" customFormat="false" ht="15" hidden="false" customHeight="false" outlineLevel="0" collapsed="false">
      <c r="I108" s="0" t="str">
        <f aca="false">IF(F108&lt;&gt;"",F108*G108,"")</f>
        <v/>
      </c>
      <c r="J108" s="0" t="str">
        <f aca="false">IF(F108&lt;&gt;"",F108*H108,"")</f>
        <v/>
      </c>
      <c r="K108" s="0" t="str">
        <f aca="false">IF(J108&lt;&gt;"",I108-J108,"")</f>
        <v/>
      </c>
      <c r="L108" s="0" t="str">
        <f aca="false">IF(AND(J108&lt;&gt;"",J108&lt;&gt;0),K108/J108,"")</f>
        <v/>
      </c>
      <c r="M108" s="0" t="str">
        <f aca="false">IF(AND(D108&lt;&gt;"",E108&lt;&gt;""),IF((DATEVALUE(E108)-DATEVALUE(D108))&gt;365,"Long Term","Short Term"),"")</f>
        <v/>
      </c>
    </row>
    <row r="109" customFormat="false" ht="15" hidden="false" customHeight="false" outlineLevel="0" collapsed="false">
      <c r="I109" s="0" t="str">
        <f aca="false">IF(F109&lt;&gt;"",F109*G109,"")</f>
        <v/>
      </c>
      <c r="J109" s="0" t="str">
        <f aca="false">IF(F109&lt;&gt;"",F109*H109,"")</f>
        <v/>
      </c>
      <c r="K109" s="0" t="str">
        <f aca="false">IF(J109&lt;&gt;"",I109-J109,"")</f>
        <v/>
      </c>
      <c r="L109" s="0" t="str">
        <f aca="false">IF(AND(J109&lt;&gt;"",J109&lt;&gt;0),K109/J109,"")</f>
        <v/>
      </c>
      <c r="M109" s="0" t="str">
        <f aca="false">IF(AND(D109&lt;&gt;"",E109&lt;&gt;""),IF((DATEVALUE(E109)-DATEVALUE(D109))&gt;365,"Long Term","Short Term"),"")</f>
        <v/>
      </c>
    </row>
    <row r="110" customFormat="false" ht="15" hidden="false" customHeight="false" outlineLevel="0" collapsed="false">
      <c r="I110" s="0" t="str">
        <f aca="false">IF(F110&lt;&gt;"",F110*G110,"")</f>
        <v/>
      </c>
      <c r="J110" s="0" t="str">
        <f aca="false">IF(F110&lt;&gt;"",F110*H110,"")</f>
        <v/>
      </c>
      <c r="K110" s="0" t="str">
        <f aca="false">IF(J110&lt;&gt;"",I110-J110,"")</f>
        <v/>
      </c>
      <c r="L110" s="0" t="str">
        <f aca="false">IF(AND(J110&lt;&gt;"",J110&lt;&gt;0),K110/J110,"")</f>
        <v/>
      </c>
      <c r="M110" s="0" t="str">
        <f aca="false">IF(AND(D110&lt;&gt;"",E110&lt;&gt;""),IF((DATEVALUE(E110)-DATEVALUE(D110))&gt;365,"Long Term","Short Term"),"")</f>
        <v/>
      </c>
    </row>
    <row r="111" customFormat="false" ht="15" hidden="false" customHeight="false" outlineLevel="0" collapsed="false">
      <c r="I111" s="0" t="str">
        <f aca="false">IF(F111&lt;&gt;"",F111*G111,"")</f>
        <v/>
      </c>
      <c r="J111" s="0" t="str">
        <f aca="false">IF(F111&lt;&gt;"",F111*H111,"")</f>
        <v/>
      </c>
      <c r="K111" s="0" t="str">
        <f aca="false">IF(J111&lt;&gt;"",I111-J111,"")</f>
        <v/>
      </c>
      <c r="L111" s="0" t="str">
        <f aca="false">IF(AND(J111&lt;&gt;"",J111&lt;&gt;0),K111/J111,"")</f>
        <v/>
      </c>
      <c r="M111" s="0" t="str">
        <f aca="false">IF(AND(D111&lt;&gt;"",E111&lt;&gt;""),IF((DATEVALUE(E111)-DATEVALUE(D111))&gt;365,"Long Term","Short Term"),"")</f>
        <v/>
      </c>
    </row>
    <row r="112" customFormat="false" ht="15" hidden="false" customHeight="false" outlineLevel="0" collapsed="false">
      <c r="I112" s="0" t="str">
        <f aca="false">IF(F112&lt;&gt;"",F112*G112,"")</f>
        <v/>
      </c>
      <c r="J112" s="0" t="str">
        <f aca="false">IF(F112&lt;&gt;"",F112*H112,"")</f>
        <v/>
      </c>
      <c r="K112" s="0" t="str">
        <f aca="false">IF(J112&lt;&gt;"",I112-J112,"")</f>
        <v/>
      </c>
      <c r="L112" s="0" t="str">
        <f aca="false">IF(AND(J112&lt;&gt;"",J112&lt;&gt;0),K112/J112,"")</f>
        <v/>
      </c>
      <c r="M112" s="0" t="str">
        <f aca="false">IF(AND(D112&lt;&gt;"",E112&lt;&gt;""),IF((DATEVALUE(E112)-DATEVALUE(D112))&gt;365,"Long Term","Short Term"),"")</f>
        <v/>
      </c>
    </row>
    <row r="113" customFormat="false" ht="15" hidden="false" customHeight="false" outlineLevel="0" collapsed="false">
      <c r="I113" s="0" t="str">
        <f aca="false">IF(F113&lt;&gt;"",F113*G113,"")</f>
        <v/>
      </c>
      <c r="J113" s="0" t="str">
        <f aca="false">IF(F113&lt;&gt;"",F113*H113,"")</f>
        <v/>
      </c>
      <c r="K113" s="0" t="str">
        <f aca="false">IF(J113&lt;&gt;"",I113-J113,"")</f>
        <v/>
      </c>
      <c r="L113" s="0" t="str">
        <f aca="false">IF(AND(J113&lt;&gt;"",J113&lt;&gt;0),K113/J113,"")</f>
        <v/>
      </c>
      <c r="M113" s="0" t="str">
        <f aca="false">IF(AND(D113&lt;&gt;"",E113&lt;&gt;""),IF((DATEVALUE(E113)-DATEVALUE(D113))&gt;365,"Long Term","Short Term"),"")</f>
        <v/>
      </c>
    </row>
    <row r="114" customFormat="false" ht="15" hidden="false" customHeight="false" outlineLevel="0" collapsed="false">
      <c r="I114" s="0" t="str">
        <f aca="false">IF(F114&lt;&gt;"",F114*G114,"")</f>
        <v/>
      </c>
      <c r="J114" s="0" t="str">
        <f aca="false">IF(F114&lt;&gt;"",F114*H114,"")</f>
        <v/>
      </c>
      <c r="K114" s="0" t="str">
        <f aca="false">IF(J114&lt;&gt;"",I114-J114,"")</f>
        <v/>
      </c>
      <c r="L114" s="0" t="str">
        <f aca="false">IF(AND(J114&lt;&gt;"",J114&lt;&gt;0),K114/J114,"")</f>
        <v/>
      </c>
      <c r="M114" s="0" t="str">
        <f aca="false">IF(AND(D114&lt;&gt;"",E114&lt;&gt;""),IF((DATEVALUE(E114)-DATEVALUE(D114))&gt;365,"Long Term","Short Term"),"")</f>
        <v/>
      </c>
    </row>
    <row r="115" customFormat="false" ht="15" hidden="false" customHeight="false" outlineLevel="0" collapsed="false">
      <c r="I115" s="0" t="str">
        <f aca="false">IF(F115&lt;&gt;"",F115*G115,"")</f>
        <v/>
      </c>
      <c r="J115" s="0" t="str">
        <f aca="false">IF(F115&lt;&gt;"",F115*H115,"")</f>
        <v/>
      </c>
      <c r="K115" s="0" t="str">
        <f aca="false">IF(J115&lt;&gt;"",I115-J115,"")</f>
        <v/>
      </c>
      <c r="L115" s="0" t="str">
        <f aca="false">IF(AND(J115&lt;&gt;"",J115&lt;&gt;0),K115/J115,"")</f>
        <v/>
      </c>
      <c r="M115" s="0" t="str">
        <f aca="false">IF(AND(D115&lt;&gt;"",E115&lt;&gt;""),IF((DATEVALUE(E115)-DATEVALUE(D115))&gt;365,"Long Term","Short Term"),"")</f>
        <v/>
      </c>
    </row>
    <row r="116" customFormat="false" ht="15" hidden="false" customHeight="false" outlineLevel="0" collapsed="false">
      <c r="I116" s="0" t="str">
        <f aca="false">IF(F116&lt;&gt;"",F116*G116,"")</f>
        <v/>
      </c>
      <c r="J116" s="0" t="str">
        <f aca="false">IF(F116&lt;&gt;"",F116*H116,"")</f>
        <v/>
      </c>
      <c r="K116" s="0" t="str">
        <f aca="false">IF(J116&lt;&gt;"",I116-J116,"")</f>
        <v/>
      </c>
      <c r="L116" s="0" t="str">
        <f aca="false">IF(AND(J116&lt;&gt;"",J116&lt;&gt;0),K116/J116,"")</f>
        <v/>
      </c>
      <c r="M116" s="0" t="str">
        <f aca="false">IF(AND(D116&lt;&gt;"",E116&lt;&gt;""),IF((DATEVALUE(E116)-DATEVALUE(D116))&gt;365,"Long Term","Short Term"),"")</f>
        <v/>
      </c>
    </row>
    <row r="117" customFormat="false" ht="15" hidden="false" customHeight="false" outlineLevel="0" collapsed="false">
      <c r="I117" s="0" t="str">
        <f aca="false">IF(F117&lt;&gt;"",F117*G117,"")</f>
        <v/>
      </c>
      <c r="J117" s="0" t="str">
        <f aca="false">IF(F117&lt;&gt;"",F117*H117,"")</f>
        <v/>
      </c>
      <c r="K117" s="0" t="str">
        <f aca="false">IF(J117&lt;&gt;"",I117-J117,"")</f>
        <v/>
      </c>
      <c r="L117" s="0" t="str">
        <f aca="false">IF(AND(J117&lt;&gt;"",J117&lt;&gt;0),K117/J117,"")</f>
        <v/>
      </c>
      <c r="M117" s="0" t="str">
        <f aca="false">IF(AND(D117&lt;&gt;"",E117&lt;&gt;""),IF((DATEVALUE(E117)-DATEVALUE(D117))&gt;365,"Long Term","Short Term"),"")</f>
        <v/>
      </c>
    </row>
    <row r="118" customFormat="false" ht="15" hidden="false" customHeight="false" outlineLevel="0" collapsed="false">
      <c r="I118" s="0" t="str">
        <f aca="false">IF(F118&lt;&gt;"",F118*G118,"")</f>
        <v/>
      </c>
      <c r="J118" s="0" t="str">
        <f aca="false">IF(F118&lt;&gt;"",F118*H118,"")</f>
        <v/>
      </c>
      <c r="K118" s="0" t="str">
        <f aca="false">IF(J118&lt;&gt;"",I118-J118,"")</f>
        <v/>
      </c>
      <c r="L118" s="0" t="str">
        <f aca="false">IF(AND(J118&lt;&gt;"",J118&lt;&gt;0),K118/J118,"")</f>
        <v/>
      </c>
      <c r="M118" s="0" t="str">
        <f aca="false">IF(AND(D118&lt;&gt;"",E118&lt;&gt;""),IF((DATEVALUE(E118)-DATEVALUE(D118))&gt;365,"Long Term","Short Term"),"")</f>
        <v/>
      </c>
    </row>
    <row r="119" customFormat="false" ht="15" hidden="false" customHeight="false" outlineLevel="0" collapsed="false">
      <c r="I119" s="0" t="str">
        <f aca="false">IF(F119&lt;&gt;"",F119*G119,"")</f>
        <v/>
      </c>
      <c r="J119" s="0" t="str">
        <f aca="false">IF(F119&lt;&gt;"",F119*H119,"")</f>
        <v/>
      </c>
      <c r="K119" s="0" t="str">
        <f aca="false">IF(J119&lt;&gt;"",I119-J119,"")</f>
        <v/>
      </c>
      <c r="L119" s="0" t="str">
        <f aca="false">IF(AND(J119&lt;&gt;"",J119&lt;&gt;0),K119/J119,"")</f>
        <v/>
      </c>
      <c r="M119" s="0" t="str">
        <f aca="false">IF(AND(D119&lt;&gt;"",E119&lt;&gt;""),IF((DATEVALUE(E119)-DATEVALUE(D119))&gt;365,"Long Term","Short Term"),"")</f>
        <v/>
      </c>
    </row>
    <row r="120" customFormat="false" ht="15" hidden="false" customHeight="false" outlineLevel="0" collapsed="false">
      <c r="I120" s="0" t="str">
        <f aca="false">IF(F120&lt;&gt;"",F120*G120,"")</f>
        <v/>
      </c>
      <c r="J120" s="0" t="str">
        <f aca="false">IF(F120&lt;&gt;"",F120*H120,"")</f>
        <v/>
      </c>
      <c r="K120" s="0" t="str">
        <f aca="false">IF(J120&lt;&gt;"",I120-J120,"")</f>
        <v/>
      </c>
      <c r="L120" s="0" t="str">
        <f aca="false">IF(AND(J120&lt;&gt;"",J120&lt;&gt;0),K120/J120,"")</f>
        <v/>
      </c>
      <c r="M120" s="0" t="str">
        <f aca="false">IF(AND(D120&lt;&gt;"",E120&lt;&gt;""),IF((DATEVALUE(E120)-DATEVALUE(D120))&gt;365,"Long Term","Short Term"),"")</f>
        <v/>
      </c>
    </row>
    <row r="121" customFormat="false" ht="15" hidden="false" customHeight="false" outlineLevel="0" collapsed="false">
      <c r="I121" s="0" t="str">
        <f aca="false">IF(F121&lt;&gt;"",F121*G121,"")</f>
        <v/>
      </c>
      <c r="J121" s="0" t="str">
        <f aca="false">IF(F121&lt;&gt;"",F121*H121,"")</f>
        <v/>
      </c>
      <c r="K121" s="0" t="str">
        <f aca="false">IF(J121&lt;&gt;"",I121-J121,"")</f>
        <v/>
      </c>
      <c r="L121" s="0" t="str">
        <f aca="false">IF(AND(J121&lt;&gt;"",J121&lt;&gt;0),K121/J121,"")</f>
        <v/>
      </c>
      <c r="M121" s="0" t="str">
        <f aca="false">IF(AND(D121&lt;&gt;"",E121&lt;&gt;""),IF((DATEVALUE(E121)-DATEVALUE(D121))&gt;365,"Long Term","Short Term"),"")</f>
        <v/>
      </c>
    </row>
    <row r="122" customFormat="false" ht="15" hidden="false" customHeight="false" outlineLevel="0" collapsed="false">
      <c r="I122" s="0" t="str">
        <f aca="false">IF(F122&lt;&gt;"",F122*G122,"")</f>
        <v/>
      </c>
      <c r="J122" s="0" t="str">
        <f aca="false">IF(F122&lt;&gt;"",F122*H122,"")</f>
        <v/>
      </c>
      <c r="K122" s="0" t="str">
        <f aca="false">IF(J122&lt;&gt;"",I122-J122,"")</f>
        <v/>
      </c>
      <c r="L122" s="0" t="str">
        <f aca="false">IF(AND(J122&lt;&gt;"",J122&lt;&gt;0),K122/J122,"")</f>
        <v/>
      </c>
      <c r="M122" s="0" t="str">
        <f aca="false">IF(AND(D122&lt;&gt;"",E122&lt;&gt;""),IF((DATEVALUE(E122)-DATEVALUE(D122))&gt;365,"Long Term","Short Term"),"")</f>
        <v/>
      </c>
    </row>
    <row r="123" customFormat="false" ht="15" hidden="false" customHeight="false" outlineLevel="0" collapsed="false">
      <c r="I123" s="0" t="str">
        <f aca="false">IF(F123&lt;&gt;"",F123*G123,"")</f>
        <v/>
      </c>
      <c r="J123" s="0" t="str">
        <f aca="false">IF(F123&lt;&gt;"",F123*H123,"")</f>
        <v/>
      </c>
      <c r="K123" s="0" t="str">
        <f aca="false">IF(J123&lt;&gt;"",I123-J123,"")</f>
        <v/>
      </c>
      <c r="L123" s="0" t="str">
        <f aca="false">IF(AND(J123&lt;&gt;"",J123&lt;&gt;0),K123/J123,"")</f>
        <v/>
      </c>
      <c r="M123" s="0" t="str">
        <f aca="false">IF(AND(D123&lt;&gt;"",E123&lt;&gt;""),IF((DATEVALUE(E123)-DATEVALUE(D123))&gt;365,"Long Term","Short Term"),"")</f>
        <v/>
      </c>
    </row>
    <row r="124" customFormat="false" ht="15" hidden="false" customHeight="false" outlineLevel="0" collapsed="false">
      <c r="I124" s="0" t="str">
        <f aca="false">IF(F124&lt;&gt;"",F124*G124,"")</f>
        <v/>
      </c>
      <c r="J124" s="0" t="str">
        <f aca="false">IF(F124&lt;&gt;"",F124*H124,"")</f>
        <v/>
      </c>
      <c r="K124" s="0" t="str">
        <f aca="false">IF(J124&lt;&gt;"",I124-J124,"")</f>
        <v/>
      </c>
      <c r="L124" s="0" t="str">
        <f aca="false">IF(AND(J124&lt;&gt;"",J124&lt;&gt;0),K124/J124,"")</f>
        <v/>
      </c>
      <c r="M124" s="0" t="str">
        <f aca="false">IF(AND(D124&lt;&gt;"",E124&lt;&gt;""),IF((DATEVALUE(E124)-DATEVALUE(D124))&gt;365,"Long Term","Short Term"),"")</f>
        <v/>
      </c>
    </row>
    <row r="125" customFormat="false" ht="15" hidden="false" customHeight="false" outlineLevel="0" collapsed="false">
      <c r="I125" s="0" t="str">
        <f aca="false">IF(F125&lt;&gt;"",F125*G125,"")</f>
        <v/>
      </c>
      <c r="J125" s="0" t="str">
        <f aca="false">IF(F125&lt;&gt;"",F125*H125,"")</f>
        <v/>
      </c>
      <c r="K125" s="0" t="str">
        <f aca="false">IF(J125&lt;&gt;"",I125-J125,"")</f>
        <v/>
      </c>
      <c r="L125" s="0" t="str">
        <f aca="false">IF(AND(J125&lt;&gt;"",J125&lt;&gt;0),K125/J125,"")</f>
        <v/>
      </c>
      <c r="M125" s="0" t="str">
        <f aca="false">IF(AND(D125&lt;&gt;"",E125&lt;&gt;""),IF((DATEVALUE(E125)-DATEVALUE(D125))&gt;365,"Long Term","Short Term"),"")</f>
        <v/>
      </c>
    </row>
    <row r="126" customFormat="false" ht="15" hidden="false" customHeight="false" outlineLevel="0" collapsed="false">
      <c r="I126" s="0" t="str">
        <f aca="false">IF(F126&lt;&gt;"",F126*G126,"")</f>
        <v/>
      </c>
      <c r="J126" s="0" t="str">
        <f aca="false">IF(F126&lt;&gt;"",F126*H126,"")</f>
        <v/>
      </c>
      <c r="K126" s="0" t="str">
        <f aca="false">IF(J126&lt;&gt;"",I126-J126,"")</f>
        <v/>
      </c>
      <c r="L126" s="0" t="str">
        <f aca="false">IF(AND(J126&lt;&gt;"",J126&lt;&gt;0),K126/J126,"")</f>
        <v/>
      </c>
      <c r="M126" s="0" t="str">
        <f aca="false">IF(AND(D126&lt;&gt;"",E126&lt;&gt;""),IF((DATEVALUE(E126)-DATEVALUE(D126))&gt;365,"Long Term","Short Term"),"")</f>
        <v/>
      </c>
    </row>
    <row r="127" customFormat="false" ht="15" hidden="false" customHeight="false" outlineLevel="0" collapsed="false">
      <c r="I127" s="0" t="str">
        <f aca="false">IF(F127&lt;&gt;"",F127*G127,"")</f>
        <v/>
      </c>
      <c r="J127" s="0" t="str">
        <f aca="false">IF(F127&lt;&gt;"",F127*H127,"")</f>
        <v/>
      </c>
      <c r="K127" s="0" t="str">
        <f aca="false">IF(J127&lt;&gt;"",I127-J127,"")</f>
        <v/>
      </c>
      <c r="L127" s="0" t="str">
        <f aca="false">IF(AND(J127&lt;&gt;"",J127&lt;&gt;0),K127/J127,"")</f>
        <v/>
      </c>
      <c r="M127" s="0" t="str">
        <f aca="false">IF(AND(D127&lt;&gt;"",E127&lt;&gt;""),IF((DATEVALUE(E127)-DATEVALUE(D127))&gt;365,"Long Term","Short Term"),"")</f>
        <v/>
      </c>
    </row>
    <row r="128" customFormat="false" ht="15" hidden="false" customHeight="false" outlineLevel="0" collapsed="false">
      <c r="I128" s="0" t="str">
        <f aca="false">IF(F128&lt;&gt;"",F128*G128,"")</f>
        <v/>
      </c>
      <c r="J128" s="0" t="str">
        <f aca="false">IF(F128&lt;&gt;"",F128*H128,"")</f>
        <v/>
      </c>
      <c r="K128" s="0" t="str">
        <f aca="false">IF(J128&lt;&gt;"",I128-J128,"")</f>
        <v/>
      </c>
      <c r="L128" s="0" t="str">
        <f aca="false">IF(AND(J128&lt;&gt;"",J128&lt;&gt;0),K128/J128,"")</f>
        <v/>
      </c>
      <c r="M128" s="0" t="str">
        <f aca="false">IF(AND(D128&lt;&gt;"",E128&lt;&gt;""),IF((DATEVALUE(E128)-DATEVALUE(D128))&gt;365,"Long Term","Short Term"),"")</f>
        <v/>
      </c>
    </row>
    <row r="129" customFormat="false" ht="15" hidden="false" customHeight="false" outlineLevel="0" collapsed="false">
      <c r="I129" s="0" t="str">
        <f aca="false">IF(F129&lt;&gt;"",F129*G129,"")</f>
        <v/>
      </c>
      <c r="J129" s="0" t="str">
        <f aca="false">IF(F129&lt;&gt;"",F129*H129,"")</f>
        <v/>
      </c>
      <c r="K129" s="0" t="str">
        <f aca="false">IF(J129&lt;&gt;"",I129-J129,"")</f>
        <v/>
      </c>
      <c r="L129" s="0" t="str">
        <f aca="false">IF(AND(J129&lt;&gt;"",J129&lt;&gt;0),K129/J129,"")</f>
        <v/>
      </c>
      <c r="M129" s="0" t="str">
        <f aca="false">IF(AND(D129&lt;&gt;"",E129&lt;&gt;""),IF((DATEVALUE(E129)-DATEVALUE(D129))&gt;365,"Long Term","Short Term"),"")</f>
        <v/>
      </c>
    </row>
    <row r="130" customFormat="false" ht="15" hidden="false" customHeight="false" outlineLevel="0" collapsed="false">
      <c r="I130" s="0" t="str">
        <f aca="false">IF(F130&lt;&gt;"",F130*G130,"")</f>
        <v/>
      </c>
      <c r="J130" s="0" t="str">
        <f aca="false">IF(F130&lt;&gt;"",F130*H130,"")</f>
        <v/>
      </c>
      <c r="K130" s="0" t="str">
        <f aca="false">IF(J130&lt;&gt;"",I130-J130,"")</f>
        <v/>
      </c>
      <c r="L130" s="0" t="str">
        <f aca="false">IF(AND(J130&lt;&gt;"",J130&lt;&gt;0),K130/J130,"")</f>
        <v/>
      </c>
      <c r="M130" s="0" t="str">
        <f aca="false">IF(AND(D130&lt;&gt;"",E130&lt;&gt;""),IF((DATEVALUE(E130)-DATEVALUE(D130))&gt;365,"Long Term","Short Term"),"")</f>
        <v/>
      </c>
    </row>
    <row r="131" customFormat="false" ht="15" hidden="false" customHeight="false" outlineLevel="0" collapsed="false">
      <c r="I131" s="0" t="str">
        <f aca="false">IF(F131&lt;&gt;"",F131*G131,"")</f>
        <v/>
      </c>
      <c r="J131" s="0" t="str">
        <f aca="false">IF(F131&lt;&gt;"",F131*H131,"")</f>
        <v/>
      </c>
      <c r="K131" s="0" t="str">
        <f aca="false">IF(J131&lt;&gt;"",I131-J131,"")</f>
        <v/>
      </c>
      <c r="L131" s="0" t="str">
        <f aca="false">IF(AND(J131&lt;&gt;"",J131&lt;&gt;0),K131/J131,"")</f>
        <v/>
      </c>
      <c r="M131" s="0" t="str">
        <f aca="false">IF(AND(D131&lt;&gt;"",E131&lt;&gt;""),IF((DATEVALUE(E131)-DATEVALUE(D131))&gt;365,"Long Term","Short Term"),"")</f>
        <v/>
      </c>
    </row>
    <row r="132" customFormat="false" ht="15" hidden="false" customHeight="false" outlineLevel="0" collapsed="false">
      <c r="I132" s="0" t="str">
        <f aca="false">IF(F132&lt;&gt;"",F132*G132,"")</f>
        <v/>
      </c>
      <c r="J132" s="0" t="str">
        <f aca="false">IF(F132&lt;&gt;"",F132*H132,"")</f>
        <v/>
      </c>
      <c r="K132" s="0" t="str">
        <f aca="false">IF(J132&lt;&gt;"",I132-J132,"")</f>
        <v/>
      </c>
      <c r="L132" s="0" t="str">
        <f aca="false">IF(AND(J132&lt;&gt;"",J132&lt;&gt;0),K132/J132,"")</f>
        <v/>
      </c>
      <c r="M132" s="0" t="str">
        <f aca="false">IF(AND(D132&lt;&gt;"",E132&lt;&gt;""),IF((DATEVALUE(E132)-DATEVALUE(D132))&gt;365,"Long Term","Short Term"),"")</f>
        <v/>
      </c>
    </row>
    <row r="133" customFormat="false" ht="15" hidden="false" customHeight="false" outlineLevel="0" collapsed="false">
      <c r="I133" s="0" t="str">
        <f aca="false">IF(F133&lt;&gt;"",F133*G133,"")</f>
        <v/>
      </c>
      <c r="J133" s="0" t="str">
        <f aca="false">IF(F133&lt;&gt;"",F133*H133,"")</f>
        <v/>
      </c>
      <c r="K133" s="0" t="str">
        <f aca="false">IF(J133&lt;&gt;"",I133-J133,"")</f>
        <v/>
      </c>
      <c r="L133" s="0" t="str">
        <f aca="false">IF(AND(J133&lt;&gt;"",J133&lt;&gt;0),K133/J133,"")</f>
        <v/>
      </c>
      <c r="M133" s="0" t="str">
        <f aca="false">IF(AND(D133&lt;&gt;"",E133&lt;&gt;""),IF((DATEVALUE(E133)-DATEVALUE(D133))&gt;365,"Long Term","Short Term"),"")</f>
        <v/>
      </c>
    </row>
    <row r="134" customFormat="false" ht="15" hidden="false" customHeight="false" outlineLevel="0" collapsed="false">
      <c r="I134" s="0" t="str">
        <f aca="false">IF(F134&lt;&gt;"",F134*G134,"")</f>
        <v/>
      </c>
      <c r="J134" s="0" t="str">
        <f aca="false">IF(F134&lt;&gt;"",F134*H134,"")</f>
        <v/>
      </c>
      <c r="K134" s="0" t="str">
        <f aca="false">IF(J134&lt;&gt;"",I134-J134,"")</f>
        <v/>
      </c>
      <c r="L134" s="0" t="str">
        <f aca="false">IF(AND(J134&lt;&gt;"",J134&lt;&gt;0),K134/J134,"")</f>
        <v/>
      </c>
      <c r="M134" s="0" t="str">
        <f aca="false">IF(AND(D134&lt;&gt;"",E134&lt;&gt;""),IF((DATEVALUE(E134)-DATEVALUE(D134))&gt;365,"Long Term","Short Term"),"")</f>
        <v/>
      </c>
    </row>
    <row r="135" customFormat="false" ht="15" hidden="false" customHeight="false" outlineLevel="0" collapsed="false">
      <c r="I135" s="0" t="str">
        <f aca="false">IF(F135&lt;&gt;"",F135*G135,"")</f>
        <v/>
      </c>
      <c r="J135" s="0" t="str">
        <f aca="false">IF(F135&lt;&gt;"",F135*H135,"")</f>
        <v/>
      </c>
      <c r="K135" s="0" t="str">
        <f aca="false">IF(J135&lt;&gt;"",I135-J135,"")</f>
        <v/>
      </c>
      <c r="L135" s="0" t="str">
        <f aca="false">IF(AND(J135&lt;&gt;"",J135&lt;&gt;0),K135/J135,"")</f>
        <v/>
      </c>
      <c r="M135" s="0" t="str">
        <f aca="false">IF(AND(D135&lt;&gt;"",E135&lt;&gt;""),IF((DATEVALUE(E135)-DATEVALUE(D135))&gt;365,"Long Term","Short Term"),"")</f>
        <v/>
      </c>
    </row>
    <row r="136" customFormat="false" ht="15" hidden="false" customHeight="false" outlineLevel="0" collapsed="false">
      <c r="I136" s="0" t="str">
        <f aca="false">IF(F136&lt;&gt;"",F136*G136,"")</f>
        <v/>
      </c>
      <c r="J136" s="0" t="str">
        <f aca="false">IF(F136&lt;&gt;"",F136*H136,"")</f>
        <v/>
      </c>
      <c r="K136" s="0" t="str">
        <f aca="false">IF(J136&lt;&gt;"",I136-J136,"")</f>
        <v/>
      </c>
      <c r="L136" s="0" t="str">
        <f aca="false">IF(AND(J136&lt;&gt;"",J136&lt;&gt;0),K136/J136,"")</f>
        <v/>
      </c>
      <c r="M136" s="0" t="str">
        <f aca="false">IF(AND(D136&lt;&gt;"",E136&lt;&gt;""),IF((DATEVALUE(E136)-DATEVALUE(D136))&gt;365,"Long Term","Short Term"),"")</f>
        <v/>
      </c>
    </row>
    <row r="137" customFormat="false" ht="15" hidden="false" customHeight="false" outlineLevel="0" collapsed="false">
      <c r="I137" s="0" t="str">
        <f aca="false">IF(F137&lt;&gt;"",F137*G137,"")</f>
        <v/>
      </c>
      <c r="J137" s="0" t="str">
        <f aca="false">IF(F137&lt;&gt;"",F137*H137,"")</f>
        <v/>
      </c>
      <c r="K137" s="0" t="str">
        <f aca="false">IF(J137&lt;&gt;"",I137-J137,"")</f>
        <v/>
      </c>
      <c r="L137" s="0" t="str">
        <f aca="false">IF(AND(J137&lt;&gt;"",J137&lt;&gt;0),K137/J137,"")</f>
        <v/>
      </c>
      <c r="M137" s="0" t="str">
        <f aca="false">IF(AND(D137&lt;&gt;"",E137&lt;&gt;""),IF((DATEVALUE(E137)-DATEVALUE(D137))&gt;365,"Long Term","Short Term"),"")</f>
        <v/>
      </c>
    </row>
    <row r="138" customFormat="false" ht="15" hidden="false" customHeight="false" outlineLevel="0" collapsed="false">
      <c r="I138" s="0" t="str">
        <f aca="false">IF(F138&lt;&gt;"",F138*G138,"")</f>
        <v/>
      </c>
      <c r="J138" s="0" t="str">
        <f aca="false">IF(F138&lt;&gt;"",F138*H138,"")</f>
        <v/>
      </c>
      <c r="K138" s="0" t="str">
        <f aca="false">IF(J138&lt;&gt;"",I138-J138,"")</f>
        <v/>
      </c>
      <c r="L138" s="0" t="str">
        <f aca="false">IF(AND(J138&lt;&gt;"",J138&lt;&gt;0),K138/J138,"")</f>
        <v/>
      </c>
      <c r="M138" s="0" t="str">
        <f aca="false">IF(AND(D138&lt;&gt;"",E138&lt;&gt;""),IF((DATEVALUE(E138)-DATEVALUE(D138))&gt;365,"Long Term","Short Term"),"")</f>
        <v/>
      </c>
    </row>
    <row r="139" customFormat="false" ht="15" hidden="false" customHeight="false" outlineLevel="0" collapsed="false">
      <c r="I139" s="0" t="str">
        <f aca="false">IF(F139&lt;&gt;"",F139*G139,"")</f>
        <v/>
      </c>
      <c r="J139" s="0" t="str">
        <f aca="false">IF(F139&lt;&gt;"",F139*H139,"")</f>
        <v/>
      </c>
      <c r="K139" s="0" t="str">
        <f aca="false">IF(J139&lt;&gt;"",I139-J139,"")</f>
        <v/>
      </c>
      <c r="L139" s="0" t="str">
        <f aca="false">IF(AND(J139&lt;&gt;"",J139&lt;&gt;0),K139/J139,"")</f>
        <v/>
      </c>
      <c r="M139" s="0" t="str">
        <f aca="false">IF(AND(D139&lt;&gt;"",E139&lt;&gt;""),IF((DATEVALUE(E139)-DATEVALUE(D139))&gt;365,"Long Term","Short Term"),"")</f>
        <v/>
      </c>
    </row>
    <row r="140" customFormat="false" ht="15" hidden="false" customHeight="false" outlineLevel="0" collapsed="false">
      <c r="I140" s="0" t="str">
        <f aca="false">IF(F140&lt;&gt;"",F140*G140,"")</f>
        <v/>
      </c>
      <c r="J140" s="0" t="str">
        <f aca="false">IF(F140&lt;&gt;"",F140*H140,"")</f>
        <v/>
      </c>
      <c r="K140" s="0" t="str">
        <f aca="false">IF(J140&lt;&gt;"",I140-J140,"")</f>
        <v/>
      </c>
      <c r="L140" s="0" t="str">
        <f aca="false">IF(AND(J140&lt;&gt;"",J140&lt;&gt;0),K140/J140,"")</f>
        <v/>
      </c>
      <c r="M140" s="0" t="str">
        <f aca="false">IF(AND(D140&lt;&gt;"",E140&lt;&gt;""),IF((DATEVALUE(E140)-DATEVALUE(D140))&gt;365,"Long Term","Short Term"),"")</f>
        <v/>
      </c>
    </row>
    <row r="141" customFormat="false" ht="15" hidden="false" customHeight="false" outlineLevel="0" collapsed="false">
      <c r="I141" s="0" t="str">
        <f aca="false">IF(F141&lt;&gt;"",F141*G141,"")</f>
        <v/>
      </c>
      <c r="J141" s="0" t="str">
        <f aca="false">IF(F141&lt;&gt;"",F141*H141,"")</f>
        <v/>
      </c>
      <c r="K141" s="0" t="str">
        <f aca="false">IF(J141&lt;&gt;"",I141-J141,"")</f>
        <v/>
      </c>
      <c r="L141" s="0" t="str">
        <f aca="false">IF(AND(J141&lt;&gt;"",J141&lt;&gt;0),K141/J141,"")</f>
        <v/>
      </c>
      <c r="M141" s="0" t="str">
        <f aca="false">IF(AND(D141&lt;&gt;"",E141&lt;&gt;""),IF((DATEVALUE(E141)-DATEVALUE(D141))&gt;365,"Long Term","Short Term"),"")</f>
        <v/>
      </c>
    </row>
    <row r="142" customFormat="false" ht="15" hidden="false" customHeight="false" outlineLevel="0" collapsed="false">
      <c r="I142" s="0" t="str">
        <f aca="false">IF(F142&lt;&gt;"",F142*G142,"")</f>
        <v/>
      </c>
      <c r="J142" s="0" t="str">
        <f aca="false">IF(F142&lt;&gt;"",F142*H142,"")</f>
        <v/>
      </c>
      <c r="K142" s="0" t="str">
        <f aca="false">IF(J142&lt;&gt;"",I142-J142,"")</f>
        <v/>
      </c>
      <c r="L142" s="0" t="str">
        <f aca="false">IF(AND(J142&lt;&gt;"",J142&lt;&gt;0),K142/J142,"")</f>
        <v/>
      </c>
      <c r="M142" s="0" t="str">
        <f aca="false">IF(AND(D142&lt;&gt;"",E142&lt;&gt;""),IF((DATEVALUE(E142)-DATEVALUE(D142))&gt;365,"Long Term","Short Term"),"")</f>
        <v/>
      </c>
    </row>
    <row r="143" customFormat="false" ht="15" hidden="false" customHeight="false" outlineLevel="0" collapsed="false">
      <c r="I143" s="0" t="str">
        <f aca="false">IF(F143&lt;&gt;"",F143*G143,"")</f>
        <v/>
      </c>
      <c r="J143" s="0" t="str">
        <f aca="false">IF(F143&lt;&gt;"",F143*H143,"")</f>
        <v/>
      </c>
      <c r="K143" s="0" t="str">
        <f aca="false">IF(J143&lt;&gt;"",I143-J143,"")</f>
        <v/>
      </c>
      <c r="L143" s="0" t="str">
        <f aca="false">IF(AND(J143&lt;&gt;"",J143&lt;&gt;0),K143/J143,"")</f>
        <v/>
      </c>
      <c r="M143" s="0" t="str">
        <f aca="false">IF(AND(D143&lt;&gt;"",E143&lt;&gt;""),IF((DATEVALUE(E143)-DATEVALUE(D143))&gt;365,"Long Term","Short Term"),"")</f>
        <v/>
      </c>
    </row>
    <row r="144" customFormat="false" ht="15" hidden="false" customHeight="false" outlineLevel="0" collapsed="false">
      <c r="I144" s="0" t="str">
        <f aca="false">IF(F144&lt;&gt;"",F144*G144,"")</f>
        <v/>
      </c>
      <c r="J144" s="0" t="str">
        <f aca="false">IF(F144&lt;&gt;"",F144*H144,"")</f>
        <v/>
      </c>
      <c r="K144" s="0" t="str">
        <f aca="false">IF(J144&lt;&gt;"",I144-J144,"")</f>
        <v/>
      </c>
      <c r="L144" s="0" t="str">
        <f aca="false">IF(AND(J144&lt;&gt;"",J144&lt;&gt;0),K144/J144,"")</f>
        <v/>
      </c>
      <c r="M144" s="0" t="str">
        <f aca="false">IF(AND(D144&lt;&gt;"",E144&lt;&gt;""),IF((DATEVALUE(E144)-DATEVALUE(D144))&gt;365,"Long Term","Short Term"),"")</f>
        <v/>
      </c>
    </row>
    <row r="145" customFormat="false" ht="15" hidden="false" customHeight="false" outlineLevel="0" collapsed="false">
      <c r="I145" s="0" t="str">
        <f aca="false">IF(F145&lt;&gt;"",F145*G145,"")</f>
        <v/>
      </c>
      <c r="J145" s="0" t="str">
        <f aca="false">IF(F145&lt;&gt;"",F145*H145,"")</f>
        <v/>
      </c>
      <c r="K145" s="0" t="str">
        <f aca="false">IF(J145&lt;&gt;"",I145-J145,"")</f>
        <v/>
      </c>
      <c r="L145" s="0" t="str">
        <f aca="false">IF(AND(J145&lt;&gt;"",J145&lt;&gt;0),K145/J145,"")</f>
        <v/>
      </c>
      <c r="M145" s="0" t="str">
        <f aca="false">IF(AND(D145&lt;&gt;"",E145&lt;&gt;""),IF((DATEVALUE(E145)-DATEVALUE(D145))&gt;365,"Long Term","Short Term"),"")</f>
        <v/>
      </c>
    </row>
    <row r="146" customFormat="false" ht="15" hidden="false" customHeight="false" outlineLevel="0" collapsed="false">
      <c r="I146" s="0" t="str">
        <f aca="false">IF(F146&lt;&gt;"",F146*G146,"")</f>
        <v/>
      </c>
      <c r="J146" s="0" t="str">
        <f aca="false">IF(F146&lt;&gt;"",F146*H146,"")</f>
        <v/>
      </c>
      <c r="K146" s="0" t="str">
        <f aca="false">IF(J146&lt;&gt;"",I146-J146,"")</f>
        <v/>
      </c>
      <c r="L146" s="0" t="str">
        <f aca="false">IF(AND(J146&lt;&gt;"",J146&lt;&gt;0),K146/J146,"")</f>
        <v/>
      </c>
      <c r="M146" s="0" t="str">
        <f aca="false">IF(AND(D146&lt;&gt;"",E146&lt;&gt;""),IF((DATEVALUE(E146)-DATEVALUE(D146))&gt;365,"Long Term","Short Term"),"")</f>
        <v/>
      </c>
    </row>
    <row r="147" customFormat="false" ht="15" hidden="false" customHeight="false" outlineLevel="0" collapsed="false">
      <c r="I147" s="0" t="str">
        <f aca="false">IF(F147&lt;&gt;"",F147*G147,"")</f>
        <v/>
      </c>
      <c r="J147" s="0" t="str">
        <f aca="false">IF(F147&lt;&gt;"",F147*H147,"")</f>
        <v/>
      </c>
      <c r="K147" s="0" t="str">
        <f aca="false">IF(J147&lt;&gt;"",I147-J147,"")</f>
        <v/>
      </c>
      <c r="L147" s="0" t="str">
        <f aca="false">IF(AND(J147&lt;&gt;"",J147&lt;&gt;0),K147/J147,"")</f>
        <v/>
      </c>
      <c r="M147" s="0" t="str">
        <f aca="false">IF(AND(D147&lt;&gt;"",E147&lt;&gt;""),IF((DATEVALUE(E147)-DATEVALUE(D147))&gt;365,"Long Term","Short Term"),"")</f>
        <v/>
      </c>
    </row>
    <row r="148" customFormat="false" ht="15" hidden="false" customHeight="false" outlineLevel="0" collapsed="false">
      <c r="I148" s="0" t="str">
        <f aca="false">IF(F148&lt;&gt;"",F148*G148,"")</f>
        <v/>
      </c>
      <c r="J148" s="0" t="str">
        <f aca="false">IF(F148&lt;&gt;"",F148*H148,"")</f>
        <v/>
      </c>
      <c r="K148" s="0" t="str">
        <f aca="false">IF(J148&lt;&gt;"",I148-J148,"")</f>
        <v/>
      </c>
      <c r="L148" s="0" t="str">
        <f aca="false">IF(AND(J148&lt;&gt;"",J148&lt;&gt;0),K148/J148,"")</f>
        <v/>
      </c>
      <c r="M148" s="0" t="str">
        <f aca="false">IF(AND(D148&lt;&gt;"",E148&lt;&gt;""),IF((DATEVALUE(E148)-DATEVALUE(D148))&gt;365,"Long Term","Short Term"),"")</f>
        <v/>
      </c>
    </row>
    <row r="149" customFormat="false" ht="15" hidden="false" customHeight="false" outlineLevel="0" collapsed="false">
      <c r="I149" s="0" t="str">
        <f aca="false">IF(F149&lt;&gt;"",F149*G149,"")</f>
        <v/>
      </c>
      <c r="J149" s="0" t="str">
        <f aca="false">IF(F149&lt;&gt;"",F149*H149,"")</f>
        <v/>
      </c>
      <c r="K149" s="0" t="str">
        <f aca="false">IF(J149&lt;&gt;"",I149-J149,"")</f>
        <v/>
      </c>
      <c r="L149" s="0" t="str">
        <f aca="false">IF(AND(J149&lt;&gt;"",J149&lt;&gt;0),K149/J149,"")</f>
        <v/>
      </c>
      <c r="M149" s="0" t="str">
        <f aca="false">IF(AND(D149&lt;&gt;"",E149&lt;&gt;""),IF((DATEVALUE(E149)-DATEVALUE(D149))&gt;365,"Long Term","Short Term"),"")</f>
        <v/>
      </c>
    </row>
    <row r="150" customFormat="false" ht="15" hidden="false" customHeight="false" outlineLevel="0" collapsed="false">
      <c r="I150" s="0" t="str">
        <f aca="false">IF(F150&lt;&gt;"",F150*G150,"")</f>
        <v/>
      </c>
      <c r="J150" s="0" t="str">
        <f aca="false">IF(F150&lt;&gt;"",F150*H150,"")</f>
        <v/>
      </c>
      <c r="K150" s="0" t="str">
        <f aca="false">IF(J150&lt;&gt;"",I150-J150,"")</f>
        <v/>
      </c>
      <c r="L150" s="0" t="str">
        <f aca="false">IF(AND(J150&lt;&gt;"",J150&lt;&gt;0),K150/J150,"")</f>
        <v/>
      </c>
      <c r="M150" s="0" t="str">
        <f aca="false">IF(AND(D150&lt;&gt;"",E150&lt;&gt;""),IF((DATEVALUE(E150)-DATEVALUE(D150))&gt;365,"Long Term","Short Term"),"")</f>
        <v/>
      </c>
    </row>
    <row r="151" customFormat="false" ht="15" hidden="false" customHeight="false" outlineLevel="0" collapsed="false">
      <c r="I151" s="0" t="str">
        <f aca="false">IF(F151&lt;&gt;"",F151*G151,"")</f>
        <v/>
      </c>
      <c r="J151" s="0" t="str">
        <f aca="false">IF(F151&lt;&gt;"",F151*H151,"")</f>
        <v/>
      </c>
      <c r="K151" s="0" t="str">
        <f aca="false">IF(J151&lt;&gt;"",I151-J151,"")</f>
        <v/>
      </c>
      <c r="L151" s="0" t="str">
        <f aca="false">IF(AND(J151&lt;&gt;"",J151&lt;&gt;0),K151/J151,"")</f>
        <v/>
      </c>
      <c r="M151" s="0" t="str">
        <f aca="false">IF(AND(D151&lt;&gt;"",E151&lt;&gt;""),IF((DATEVALUE(E151)-DATEVALUE(D151))&gt;365,"Long Term","Short Term"),"")</f>
        <v/>
      </c>
    </row>
    <row r="152" customFormat="false" ht="15" hidden="false" customHeight="false" outlineLevel="0" collapsed="false">
      <c r="I152" s="0" t="str">
        <f aca="false">IF(F152&lt;&gt;"",F152*G152,"")</f>
        <v/>
      </c>
      <c r="J152" s="0" t="str">
        <f aca="false">IF(F152&lt;&gt;"",F152*H152,"")</f>
        <v/>
      </c>
      <c r="K152" s="0" t="str">
        <f aca="false">IF(J152&lt;&gt;"",I152-J152,"")</f>
        <v/>
      </c>
      <c r="L152" s="0" t="str">
        <f aca="false">IF(AND(J152&lt;&gt;"",J152&lt;&gt;0),K152/J152,"")</f>
        <v/>
      </c>
      <c r="M152" s="0" t="str">
        <f aca="false">IF(AND(D152&lt;&gt;"",E152&lt;&gt;""),IF((DATEVALUE(E152)-DATEVALUE(D152))&gt;365,"Long Term","Short Term"),"")</f>
        <v/>
      </c>
    </row>
    <row r="153" customFormat="false" ht="15" hidden="false" customHeight="false" outlineLevel="0" collapsed="false">
      <c r="I153" s="0" t="str">
        <f aca="false">IF(F153&lt;&gt;"",F153*G153,"")</f>
        <v/>
      </c>
      <c r="J153" s="0" t="str">
        <f aca="false">IF(F153&lt;&gt;"",F153*H153,"")</f>
        <v/>
      </c>
      <c r="K153" s="0" t="str">
        <f aca="false">IF(J153&lt;&gt;"",I153-J153,"")</f>
        <v/>
      </c>
      <c r="L153" s="0" t="str">
        <f aca="false">IF(AND(J153&lt;&gt;"",J153&lt;&gt;0),K153/J153,"")</f>
        <v/>
      </c>
      <c r="M153" s="0" t="str">
        <f aca="false">IF(AND(D153&lt;&gt;"",E153&lt;&gt;""),IF((DATEVALUE(E153)-DATEVALUE(D153))&gt;365,"Long Term","Short Term"),"")</f>
        <v/>
      </c>
    </row>
    <row r="154" customFormat="false" ht="15" hidden="false" customHeight="false" outlineLevel="0" collapsed="false">
      <c r="I154" s="0" t="str">
        <f aca="false">IF(F154&lt;&gt;"",F154*G154,"")</f>
        <v/>
      </c>
      <c r="J154" s="0" t="str">
        <f aca="false">IF(F154&lt;&gt;"",F154*H154,"")</f>
        <v/>
      </c>
      <c r="K154" s="0" t="str">
        <f aca="false">IF(J154&lt;&gt;"",I154-J154,"")</f>
        <v/>
      </c>
      <c r="L154" s="0" t="str">
        <f aca="false">IF(AND(J154&lt;&gt;"",J154&lt;&gt;0),K154/J154,"")</f>
        <v/>
      </c>
      <c r="M154" s="0" t="str">
        <f aca="false">IF(AND(D154&lt;&gt;"",E154&lt;&gt;""),IF((DATEVALUE(E154)-DATEVALUE(D154))&gt;365,"Long Term","Short Term"),"")</f>
        <v/>
      </c>
    </row>
    <row r="155" customFormat="false" ht="15" hidden="false" customHeight="false" outlineLevel="0" collapsed="false">
      <c r="I155" s="0" t="str">
        <f aca="false">IF(F155&lt;&gt;"",F155*G155,"")</f>
        <v/>
      </c>
      <c r="J155" s="0" t="str">
        <f aca="false">IF(F155&lt;&gt;"",F155*H155,"")</f>
        <v/>
      </c>
      <c r="K155" s="0" t="str">
        <f aca="false">IF(J155&lt;&gt;"",I155-J155,"")</f>
        <v/>
      </c>
      <c r="L155" s="0" t="str">
        <f aca="false">IF(AND(J155&lt;&gt;"",J155&lt;&gt;0),K155/J155,"")</f>
        <v/>
      </c>
      <c r="M155" s="0" t="str">
        <f aca="false">IF(AND(D155&lt;&gt;"",E155&lt;&gt;""),IF((DATEVALUE(E155)-DATEVALUE(D155))&gt;365,"Long Term","Short Term"),"")</f>
        <v/>
      </c>
    </row>
    <row r="156" customFormat="false" ht="15" hidden="false" customHeight="false" outlineLevel="0" collapsed="false">
      <c r="I156" s="0" t="str">
        <f aca="false">IF(F156&lt;&gt;"",F156*G156,"")</f>
        <v/>
      </c>
      <c r="J156" s="0" t="str">
        <f aca="false">IF(F156&lt;&gt;"",F156*H156,"")</f>
        <v/>
      </c>
      <c r="K156" s="0" t="str">
        <f aca="false">IF(J156&lt;&gt;"",I156-J156,"")</f>
        <v/>
      </c>
      <c r="L156" s="0" t="str">
        <f aca="false">IF(AND(J156&lt;&gt;"",J156&lt;&gt;0),K156/J156,"")</f>
        <v/>
      </c>
      <c r="M156" s="0" t="str">
        <f aca="false">IF(AND(D156&lt;&gt;"",E156&lt;&gt;""),IF((DATEVALUE(E156)-DATEVALUE(D156))&gt;365,"Long Term","Short Term"),"")</f>
        <v/>
      </c>
    </row>
    <row r="157" customFormat="false" ht="15" hidden="false" customHeight="false" outlineLevel="0" collapsed="false">
      <c r="I157" s="0" t="str">
        <f aca="false">IF(F157&lt;&gt;"",F157*G157,"")</f>
        <v/>
      </c>
      <c r="J157" s="0" t="str">
        <f aca="false">IF(F157&lt;&gt;"",F157*H157,"")</f>
        <v/>
      </c>
      <c r="K157" s="0" t="str">
        <f aca="false">IF(J157&lt;&gt;"",I157-J157,"")</f>
        <v/>
      </c>
      <c r="L157" s="0" t="str">
        <f aca="false">IF(AND(J157&lt;&gt;"",J157&lt;&gt;0),K157/J157,"")</f>
        <v/>
      </c>
      <c r="M157" s="0" t="str">
        <f aca="false">IF(AND(D157&lt;&gt;"",E157&lt;&gt;""),IF((DATEVALUE(E157)-DATEVALUE(D157))&gt;365,"Long Term","Short Term"),"")</f>
        <v/>
      </c>
    </row>
    <row r="158" customFormat="false" ht="15" hidden="false" customHeight="false" outlineLevel="0" collapsed="false">
      <c r="I158" s="0" t="str">
        <f aca="false">IF(F158&lt;&gt;"",F158*G158,"")</f>
        <v/>
      </c>
      <c r="J158" s="0" t="str">
        <f aca="false">IF(F158&lt;&gt;"",F158*H158,"")</f>
        <v/>
      </c>
      <c r="K158" s="0" t="str">
        <f aca="false">IF(J158&lt;&gt;"",I158-J158,"")</f>
        <v/>
      </c>
      <c r="L158" s="0" t="str">
        <f aca="false">IF(AND(J158&lt;&gt;"",J158&lt;&gt;0),K158/J158,"")</f>
        <v/>
      </c>
      <c r="M158" s="0" t="str">
        <f aca="false">IF(AND(D158&lt;&gt;"",E158&lt;&gt;""),IF((DATEVALUE(E158)-DATEVALUE(D158))&gt;365,"Long Term","Short Term"),"")</f>
        <v/>
      </c>
    </row>
    <row r="159" customFormat="false" ht="15" hidden="false" customHeight="false" outlineLevel="0" collapsed="false">
      <c r="I159" s="0" t="str">
        <f aca="false">IF(F159&lt;&gt;"",F159*G159,"")</f>
        <v/>
      </c>
      <c r="J159" s="0" t="str">
        <f aca="false">IF(F159&lt;&gt;"",F159*H159,"")</f>
        <v/>
      </c>
      <c r="K159" s="0" t="str">
        <f aca="false">IF(J159&lt;&gt;"",I159-J159,"")</f>
        <v/>
      </c>
      <c r="L159" s="0" t="str">
        <f aca="false">IF(AND(J159&lt;&gt;"",J159&lt;&gt;0),K159/J159,"")</f>
        <v/>
      </c>
      <c r="M159" s="0" t="str">
        <f aca="false">IF(AND(D159&lt;&gt;"",E159&lt;&gt;""),IF((DATEVALUE(E159)-DATEVALUE(D159))&gt;365,"Long Term","Short Term"),"")</f>
        <v/>
      </c>
    </row>
    <row r="160" customFormat="false" ht="15" hidden="false" customHeight="false" outlineLevel="0" collapsed="false">
      <c r="I160" s="0" t="str">
        <f aca="false">IF(F160&lt;&gt;"",F160*G160,"")</f>
        <v/>
      </c>
      <c r="J160" s="0" t="str">
        <f aca="false">IF(F160&lt;&gt;"",F160*H160,"")</f>
        <v/>
      </c>
      <c r="K160" s="0" t="str">
        <f aca="false">IF(J160&lt;&gt;"",I160-J160,"")</f>
        <v/>
      </c>
      <c r="L160" s="0" t="str">
        <f aca="false">IF(AND(J160&lt;&gt;"",J160&lt;&gt;0),K160/J160,"")</f>
        <v/>
      </c>
      <c r="M160" s="0" t="str">
        <f aca="false">IF(AND(D160&lt;&gt;"",E160&lt;&gt;""),IF((DATEVALUE(E160)-DATEVALUE(D160))&gt;365,"Long Term","Short Term"),"")</f>
        <v/>
      </c>
    </row>
    <row r="161" customFormat="false" ht="15" hidden="false" customHeight="false" outlineLevel="0" collapsed="false">
      <c r="I161" s="0" t="str">
        <f aca="false">IF(F161&lt;&gt;"",F161*G161,"")</f>
        <v/>
      </c>
      <c r="J161" s="0" t="str">
        <f aca="false">IF(F161&lt;&gt;"",F161*H161,"")</f>
        <v/>
      </c>
      <c r="K161" s="0" t="str">
        <f aca="false">IF(J161&lt;&gt;"",I161-J161,"")</f>
        <v/>
      </c>
      <c r="L161" s="0" t="str">
        <f aca="false">IF(AND(J161&lt;&gt;"",J161&lt;&gt;0),K161/J161,"")</f>
        <v/>
      </c>
      <c r="M161" s="0" t="str">
        <f aca="false">IF(AND(D161&lt;&gt;"",E161&lt;&gt;""),IF((DATEVALUE(E161)-DATEVALUE(D161))&gt;365,"Long Term","Short Term"),"")</f>
        <v/>
      </c>
    </row>
    <row r="162" customFormat="false" ht="15" hidden="false" customHeight="false" outlineLevel="0" collapsed="false">
      <c r="I162" s="0" t="str">
        <f aca="false">IF(F162&lt;&gt;"",F162*G162,"")</f>
        <v/>
      </c>
      <c r="J162" s="0" t="str">
        <f aca="false">IF(F162&lt;&gt;"",F162*H162,"")</f>
        <v/>
      </c>
      <c r="K162" s="0" t="str">
        <f aca="false">IF(J162&lt;&gt;"",I162-J162,"")</f>
        <v/>
      </c>
      <c r="L162" s="0" t="str">
        <f aca="false">IF(AND(J162&lt;&gt;"",J162&lt;&gt;0),K162/J162,"")</f>
        <v/>
      </c>
      <c r="M162" s="0" t="str">
        <f aca="false">IF(AND(D162&lt;&gt;"",E162&lt;&gt;""),IF((DATEVALUE(E162)-DATEVALUE(D162))&gt;365,"Long Term","Short Term"),"")</f>
        <v/>
      </c>
    </row>
    <row r="163" customFormat="false" ht="15" hidden="false" customHeight="false" outlineLevel="0" collapsed="false">
      <c r="I163" s="0" t="str">
        <f aca="false">IF(F163&lt;&gt;"",F163*G163,"")</f>
        <v/>
      </c>
      <c r="J163" s="0" t="str">
        <f aca="false">IF(F163&lt;&gt;"",F163*H163,"")</f>
        <v/>
      </c>
      <c r="K163" s="0" t="str">
        <f aca="false">IF(J163&lt;&gt;"",I163-J163,"")</f>
        <v/>
      </c>
      <c r="L163" s="0" t="str">
        <f aca="false">IF(AND(J163&lt;&gt;"",J163&lt;&gt;0),K163/J163,"")</f>
        <v/>
      </c>
      <c r="M163" s="0" t="str">
        <f aca="false">IF(AND(D163&lt;&gt;"",E163&lt;&gt;""),IF((DATEVALUE(E163)-DATEVALUE(D163))&gt;365,"Long Term","Short Term"),"")</f>
        <v/>
      </c>
    </row>
    <row r="164" customFormat="false" ht="15" hidden="false" customHeight="false" outlineLevel="0" collapsed="false">
      <c r="I164" s="0" t="str">
        <f aca="false">IF(F164&lt;&gt;"",F164*G164,"")</f>
        <v/>
      </c>
      <c r="J164" s="0" t="str">
        <f aca="false">IF(F164&lt;&gt;"",F164*H164,"")</f>
        <v/>
      </c>
      <c r="K164" s="0" t="str">
        <f aca="false">IF(J164&lt;&gt;"",I164-J164,"")</f>
        <v/>
      </c>
      <c r="L164" s="0" t="str">
        <f aca="false">IF(AND(J164&lt;&gt;"",J164&lt;&gt;0),K164/J164,"")</f>
        <v/>
      </c>
      <c r="M164" s="0" t="str">
        <f aca="false">IF(AND(D164&lt;&gt;"",E164&lt;&gt;""),IF((DATEVALUE(E164)-DATEVALUE(D164))&gt;365,"Long Term","Short Term"),"")</f>
        <v/>
      </c>
    </row>
    <row r="165" customFormat="false" ht="15" hidden="false" customHeight="false" outlineLevel="0" collapsed="false">
      <c r="I165" s="0" t="str">
        <f aca="false">IF(F165&lt;&gt;"",F165*G165,"")</f>
        <v/>
      </c>
      <c r="J165" s="0" t="str">
        <f aca="false">IF(F165&lt;&gt;"",F165*H165,"")</f>
        <v/>
      </c>
      <c r="K165" s="0" t="str">
        <f aca="false">IF(J165&lt;&gt;"",I165-J165,"")</f>
        <v/>
      </c>
      <c r="L165" s="0" t="str">
        <f aca="false">IF(AND(J165&lt;&gt;"",J165&lt;&gt;0),K165/J165,"")</f>
        <v/>
      </c>
      <c r="M165" s="0" t="str">
        <f aca="false">IF(AND(D165&lt;&gt;"",E165&lt;&gt;""),IF((DATEVALUE(E165)-DATEVALUE(D165))&gt;365,"Long Term","Short Term"),"")</f>
        <v/>
      </c>
    </row>
    <row r="166" customFormat="false" ht="15" hidden="false" customHeight="false" outlineLevel="0" collapsed="false">
      <c r="I166" s="0" t="str">
        <f aca="false">IF(F166&lt;&gt;"",F166*G166,"")</f>
        <v/>
      </c>
      <c r="J166" s="0" t="str">
        <f aca="false">IF(F166&lt;&gt;"",F166*H166,"")</f>
        <v/>
      </c>
      <c r="K166" s="0" t="str">
        <f aca="false">IF(J166&lt;&gt;"",I166-J166,"")</f>
        <v/>
      </c>
      <c r="L166" s="0" t="str">
        <f aca="false">IF(AND(J166&lt;&gt;"",J166&lt;&gt;0),K166/J166,"")</f>
        <v/>
      </c>
      <c r="M166" s="0" t="str">
        <f aca="false">IF(AND(D166&lt;&gt;"",E166&lt;&gt;""),IF((DATEVALUE(E166)-DATEVALUE(D166))&gt;365,"Long Term","Short Term"),"")</f>
        <v/>
      </c>
    </row>
    <row r="167" customFormat="false" ht="15" hidden="false" customHeight="false" outlineLevel="0" collapsed="false">
      <c r="I167" s="0" t="str">
        <f aca="false">IF(F167&lt;&gt;"",F167*G167,"")</f>
        <v/>
      </c>
      <c r="J167" s="0" t="str">
        <f aca="false">IF(F167&lt;&gt;"",F167*H167,"")</f>
        <v/>
      </c>
      <c r="K167" s="0" t="str">
        <f aca="false">IF(J167&lt;&gt;"",I167-J167,"")</f>
        <v/>
      </c>
      <c r="L167" s="0" t="str">
        <f aca="false">IF(AND(J167&lt;&gt;"",J167&lt;&gt;0),K167/J167,"")</f>
        <v/>
      </c>
      <c r="M167" s="0" t="str">
        <f aca="false">IF(AND(D167&lt;&gt;"",E167&lt;&gt;""),IF((DATEVALUE(E167)-DATEVALUE(D167))&gt;365,"Long Term","Short Term"),"")</f>
        <v/>
      </c>
    </row>
    <row r="168" customFormat="false" ht="15" hidden="false" customHeight="false" outlineLevel="0" collapsed="false">
      <c r="I168" s="0" t="str">
        <f aca="false">IF(F168&lt;&gt;"",F168*G168,"")</f>
        <v/>
      </c>
      <c r="J168" s="0" t="str">
        <f aca="false">IF(F168&lt;&gt;"",F168*H168,"")</f>
        <v/>
      </c>
      <c r="K168" s="0" t="str">
        <f aca="false">IF(J168&lt;&gt;"",I168-J168,"")</f>
        <v/>
      </c>
      <c r="L168" s="0" t="str">
        <f aca="false">IF(AND(J168&lt;&gt;"",J168&lt;&gt;0),K168/J168,"")</f>
        <v/>
      </c>
      <c r="M168" s="0" t="str">
        <f aca="false">IF(AND(D168&lt;&gt;"",E168&lt;&gt;""),IF((DATEVALUE(E168)-DATEVALUE(D168))&gt;365,"Long Term","Short Term"),"")</f>
        <v/>
      </c>
    </row>
    <row r="169" customFormat="false" ht="15" hidden="false" customHeight="false" outlineLevel="0" collapsed="false">
      <c r="I169" s="0" t="str">
        <f aca="false">IF(F169&lt;&gt;"",F169*G169,"")</f>
        <v/>
      </c>
      <c r="J169" s="0" t="str">
        <f aca="false">IF(F169&lt;&gt;"",F169*H169,"")</f>
        <v/>
      </c>
      <c r="K169" s="0" t="str">
        <f aca="false">IF(J169&lt;&gt;"",I169-J169,"")</f>
        <v/>
      </c>
      <c r="L169" s="0" t="str">
        <f aca="false">IF(AND(J169&lt;&gt;"",J169&lt;&gt;0),K169/J169,"")</f>
        <v/>
      </c>
      <c r="M169" s="0" t="str">
        <f aca="false">IF(AND(D169&lt;&gt;"",E169&lt;&gt;""),IF((DATEVALUE(E169)-DATEVALUE(D169))&gt;365,"Long Term","Short Term"),"")</f>
        <v/>
      </c>
    </row>
    <row r="170" customFormat="false" ht="15" hidden="false" customHeight="false" outlineLevel="0" collapsed="false">
      <c r="I170" s="0" t="str">
        <f aca="false">IF(F170&lt;&gt;"",F170*G170,"")</f>
        <v/>
      </c>
      <c r="J170" s="0" t="str">
        <f aca="false">IF(F170&lt;&gt;"",F170*H170,"")</f>
        <v/>
      </c>
      <c r="K170" s="0" t="str">
        <f aca="false">IF(J170&lt;&gt;"",I170-J170,"")</f>
        <v/>
      </c>
      <c r="L170" s="0" t="str">
        <f aca="false">IF(AND(J170&lt;&gt;"",J170&lt;&gt;0),K170/J170,"")</f>
        <v/>
      </c>
      <c r="M170" s="0" t="str">
        <f aca="false">IF(AND(D170&lt;&gt;"",E170&lt;&gt;""),IF((DATEVALUE(E170)-DATEVALUE(D170))&gt;365,"Long Term","Short Term"),"")</f>
        <v/>
      </c>
    </row>
    <row r="171" customFormat="false" ht="15" hidden="false" customHeight="false" outlineLevel="0" collapsed="false">
      <c r="I171" s="0" t="str">
        <f aca="false">IF(F171&lt;&gt;"",F171*G171,"")</f>
        <v/>
      </c>
      <c r="J171" s="0" t="str">
        <f aca="false">IF(F171&lt;&gt;"",F171*H171,"")</f>
        <v/>
      </c>
      <c r="K171" s="0" t="str">
        <f aca="false">IF(J171&lt;&gt;"",I171-J171,"")</f>
        <v/>
      </c>
      <c r="L171" s="0" t="str">
        <f aca="false">IF(AND(J171&lt;&gt;"",J171&lt;&gt;0),K171/J171,"")</f>
        <v/>
      </c>
      <c r="M171" s="0" t="str">
        <f aca="false">IF(AND(D171&lt;&gt;"",E171&lt;&gt;""),IF((DATEVALUE(E171)-DATEVALUE(D171))&gt;365,"Long Term","Short Term"),"")</f>
        <v/>
      </c>
    </row>
    <row r="172" customFormat="false" ht="15" hidden="false" customHeight="false" outlineLevel="0" collapsed="false">
      <c r="I172" s="0" t="str">
        <f aca="false">IF(F172&lt;&gt;"",F172*G172,"")</f>
        <v/>
      </c>
      <c r="J172" s="0" t="str">
        <f aca="false">IF(F172&lt;&gt;"",F172*H172,"")</f>
        <v/>
      </c>
      <c r="K172" s="0" t="str">
        <f aca="false">IF(J172&lt;&gt;"",I172-J172,"")</f>
        <v/>
      </c>
      <c r="L172" s="0" t="str">
        <f aca="false">IF(AND(J172&lt;&gt;"",J172&lt;&gt;0),K172/J172,"")</f>
        <v/>
      </c>
      <c r="M172" s="0" t="str">
        <f aca="false">IF(AND(D172&lt;&gt;"",E172&lt;&gt;""),IF((DATEVALUE(E172)-DATEVALUE(D172))&gt;365,"Long Term","Short Term"),"")</f>
        <v/>
      </c>
    </row>
    <row r="173" customFormat="false" ht="15" hidden="false" customHeight="false" outlineLevel="0" collapsed="false">
      <c r="I173" s="0" t="str">
        <f aca="false">IF(F173&lt;&gt;"",F173*G173,"")</f>
        <v/>
      </c>
      <c r="J173" s="0" t="str">
        <f aca="false">IF(F173&lt;&gt;"",F173*H173,"")</f>
        <v/>
      </c>
      <c r="K173" s="0" t="str">
        <f aca="false">IF(J173&lt;&gt;"",I173-J173,"")</f>
        <v/>
      </c>
      <c r="L173" s="0" t="str">
        <f aca="false">IF(AND(J173&lt;&gt;"",J173&lt;&gt;0),K173/J173,"")</f>
        <v/>
      </c>
      <c r="M173" s="0" t="str">
        <f aca="false">IF(AND(D173&lt;&gt;"",E173&lt;&gt;""),IF((DATEVALUE(E173)-DATEVALUE(D173))&gt;365,"Long Term","Short Term"),"")</f>
        <v/>
      </c>
    </row>
    <row r="174" customFormat="false" ht="15" hidden="false" customHeight="false" outlineLevel="0" collapsed="false">
      <c r="I174" s="0" t="str">
        <f aca="false">IF(F174&lt;&gt;"",F174*G174,"")</f>
        <v/>
      </c>
      <c r="J174" s="0" t="str">
        <f aca="false">IF(F174&lt;&gt;"",F174*H174,"")</f>
        <v/>
      </c>
      <c r="K174" s="0" t="str">
        <f aca="false">IF(J174&lt;&gt;"",I174-J174,"")</f>
        <v/>
      </c>
      <c r="L174" s="0" t="str">
        <f aca="false">IF(AND(J174&lt;&gt;"",J174&lt;&gt;0),K174/J174,"")</f>
        <v/>
      </c>
      <c r="M174" s="0" t="str">
        <f aca="false">IF(AND(D174&lt;&gt;"",E174&lt;&gt;""),IF((DATEVALUE(E174)-DATEVALUE(D174))&gt;365,"Long Term","Short Term"),"")</f>
        <v/>
      </c>
    </row>
    <row r="175" customFormat="false" ht="15" hidden="false" customHeight="false" outlineLevel="0" collapsed="false">
      <c r="I175" s="0" t="str">
        <f aca="false">IF(F175&lt;&gt;"",F175*G175,"")</f>
        <v/>
      </c>
      <c r="J175" s="0" t="str">
        <f aca="false">IF(F175&lt;&gt;"",F175*H175,"")</f>
        <v/>
      </c>
      <c r="K175" s="0" t="str">
        <f aca="false">IF(J175&lt;&gt;"",I175-J175,"")</f>
        <v/>
      </c>
      <c r="L175" s="0" t="str">
        <f aca="false">IF(AND(J175&lt;&gt;"",J175&lt;&gt;0),K175/J175,"")</f>
        <v/>
      </c>
      <c r="M175" s="0" t="str">
        <f aca="false">IF(AND(D175&lt;&gt;"",E175&lt;&gt;""),IF((DATEVALUE(E175)-DATEVALUE(D175))&gt;365,"Long Term","Short Term"),"")</f>
        <v/>
      </c>
    </row>
    <row r="176" customFormat="false" ht="15" hidden="false" customHeight="false" outlineLevel="0" collapsed="false">
      <c r="I176" s="0" t="str">
        <f aca="false">IF(F176&lt;&gt;"",F176*G176,"")</f>
        <v/>
      </c>
      <c r="J176" s="0" t="str">
        <f aca="false">IF(F176&lt;&gt;"",F176*H176,"")</f>
        <v/>
      </c>
      <c r="K176" s="0" t="str">
        <f aca="false">IF(J176&lt;&gt;"",I176-J176,"")</f>
        <v/>
      </c>
      <c r="L176" s="0" t="str">
        <f aca="false">IF(AND(J176&lt;&gt;"",J176&lt;&gt;0),K176/J176,"")</f>
        <v/>
      </c>
      <c r="M176" s="0" t="str">
        <f aca="false">IF(AND(D176&lt;&gt;"",E176&lt;&gt;""),IF((DATEVALUE(E176)-DATEVALUE(D176))&gt;365,"Long Term","Short Term"),"")</f>
        <v/>
      </c>
    </row>
    <row r="177" customFormat="false" ht="15" hidden="false" customHeight="false" outlineLevel="0" collapsed="false">
      <c r="I177" s="0" t="str">
        <f aca="false">IF(F177&lt;&gt;"",F177*G177,"")</f>
        <v/>
      </c>
      <c r="J177" s="0" t="str">
        <f aca="false">IF(F177&lt;&gt;"",F177*H177,"")</f>
        <v/>
      </c>
      <c r="K177" s="0" t="str">
        <f aca="false">IF(J177&lt;&gt;"",I177-J177,"")</f>
        <v/>
      </c>
      <c r="L177" s="0" t="str">
        <f aca="false">IF(AND(J177&lt;&gt;"",J177&lt;&gt;0),K177/J177,"")</f>
        <v/>
      </c>
      <c r="M177" s="0" t="str">
        <f aca="false">IF(AND(D177&lt;&gt;"",E177&lt;&gt;""),IF((DATEVALUE(E177)-DATEVALUE(D177))&gt;365,"Long Term","Short Term"),"")</f>
        <v/>
      </c>
    </row>
    <row r="178" customFormat="false" ht="15" hidden="false" customHeight="false" outlineLevel="0" collapsed="false">
      <c r="I178" s="0" t="str">
        <f aca="false">IF(F178&lt;&gt;"",F178*G178,"")</f>
        <v/>
      </c>
      <c r="J178" s="0" t="str">
        <f aca="false">IF(F178&lt;&gt;"",F178*H178,"")</f>
        <v/>
      </c>
      <c r="K178" s="0" t="str">
        <f aca="false">IF(J178&lt;&gt;"",I178-J178,"")</f>
        <v/>
      </c>
      <c r="L178" s="0" t="str">
        <f aca="false">IF(AND(J178&lt;&gt;"",J178&lt;&gt;0),K178/J178,"")</f>
        <v/>
      </c>
      <c r="M178" s="0" t="str">
        <f aca="false">IF(AND(D178&lt;&gt;"",E178&lt;&gt;""),IF((DATEVALUE(E178)-DATEVALUE(D178))&gt;365,"Long Term","Short Term"),"")</f>
        <v/>
      </c>
    </row>
    <row r="179" customFormat="false" ht="15" hidden="false" customHeight="false" outlineLevel="0" collapsed="false">
      <c r="I179" s="0" t="str">
        <f aca="false">IF(F179&lt;&gt;"",F179*G179,"")</f>
        <v/>
      </c>
      <c r="J179" s="0" t="str">
        <f aca="false">IF(F179&lt;&gt;"",F179*H179,"")</f>
        <v/>
      </c>
      <c r="K179" s="0" t="str">
        <f aca="false">IF(J179&lt;&gt;"",I179-J179,"")</f>
        <v/>
      </c>
      <c r="L179" s="0" t="str">
        <f aca="false">IF(AND(J179&lt;&gt;"",J179&lt;&gt;0),K179/J179,"")</f>
        <v/>
      </c>
      <c r="M179" s="0" t="str">
        <f aca="false">IF(AND(D179&lt;&gt;"",E179&lt;&gt;""),IF((DATEVALUE(E179)-DATEVALUE(D179))&gt;365,"Long Term","Short Term"),"")</f>
        <v/>
      </c>
    </row>
    <row r="180" customFormat="false" ht="15" hidden="false" customHeight="false" outlineLevel="0" collapsed="false">
      <c r="I180" s="0" t="str">
        <f aca="false">IF(F180&lt;&gt;"",F180*G180,"")</f>
        <v/>
      </c>
      <c r="J180" s="0" t="str">
        <f aca="false">IF(F180&lt;&gt;"",F180*H180,"")</f>
        <v/>
      </c>
      <c r="K180" s="0" t="str">
        <f aca="false">IF(J180&lt;&gt;"",I180-J180,"")</f>
        <v/>
      </c>
      <c r="L180" s="0" t="str">
        <f aca="false">IF(AND(J180&lt;&gt;"",J180&lt;&gt;0),K180/J180,"")</f>
        <v/>
      </c>
      <c r="M180" s="0" t="str">
        <f aca="false">IF(AND(D180&lt;&gt;"",E180&lt;&gt;""),IF((DATEVALUE(E180)-DATEVALUE(D180))&gt;365,"Long Term","Short Term"),"")</f>
        <v/>
      </c>
    </row>
    <row r="181" customFormat="false" ht="15" hidden="false" customHeight="false" outlineLevel="0" collapsed="false">
      <c r="I181" s="0" t="str">
        <f aca="false">IF(F181&lt;&gt;"",F181*G181,"")</f>
        <v/>
      </c>
      <c r="J181" s="0" t="str">
        <f aca="false">IF(F181&lt;&gt;"",F181*H181,"")</f>
        <v/>
      </c>
      <c r="K181" s="0" t="str">
        <f aca="false">IF(J181&lt;&gt;"",I181-J181,"")</f>
        <v/>
      </c>
      <c r="L181" s="0" t="str">
        <f aca="false">IF(AND(J181&lt;&gt;"",J181&lt;&gt;0),K181/J181,"")</f>
        <v/>
      </c>
      <c r="M181" s="0" t="str">
        <f aca="false">IF(AND(D181&lt;&gt;"",E181&lt;&gt;""),IF((DATEVALUE(E181)-DATEVALUE(D181))&gt;365,"Long Term","Short Term"),"")</f>
        <v/>
      </c>
    </row>
    <row r="182" customFormat="false" ht="15" hidden="false" customHeight="false" outlineLevel="0" collapsed="false">
      <c r="I182" s="0" t="str">
        <f aca="false">IF(F182&lt;&gt;"",F182*G182,"")</f>
        <v/>
      </c>
      <c r="J182" s="0" t="str">
        <f aca="false">IF(F182&lt;&gt;"",F182*H182,"")</f>
        <v/>
      </c>
      <c r="K182" s="0" t="str">
        <f aca="false">IF(J182&lt;&gt;"",I182-J182,"")</f>
        <v/>
      </c>
      <c r="L182" s="0" t="str">
        <f aca="false">IF(AND(J182&lt;&gt;"",J182&lt;&gt;0),K182/J182,"")</f>
        <v/>
      </c>
      <c r="M182" s="0" t="str">
        <f aca="false">IF(AND(D182&lt;&gt;"",E182&lt;&gt;""),IF((DATEVALUE(E182)-DATEVALUE(D182))&gt;365,"Long Term","Short Term"),"")</f>
        <v/>
      </c>
    </row>
    <row r="183" customFormat="false" ht="15" hidden="false" customHeight="false" outlineLevel="0" collapsed="false">
      <c r="I183" s="0" t="str">
        <f aca="false">IF(F183&lt;&gt;"",F183*G183,"")</f>
        <v/>
      </c>
      <c r="J183" s="0" t="str">
        <f aca="false">IF(F183&lt;&gt;"",F183*H183,"")</f>
        <v/>
      </c>
      <c r="K183" s="0" t="str">
        <f aca="false">IF(J183&lt;&gt;"",I183-J183,"")</f>
        <v/>
      </c>
      <c r="L183" s="0" t="str">
        <f aca="false">IF(AND(J183&lt;&gt;"",J183&lt;&gt;0),K183/J183,"")</f>
        <v/>
      </c>
      <c r="M183" s="0" t="str">
        <f aca="false">IF(AND(D183&lt;&gt;"",E183&lt;&gt;""),IF((DATEVALUE(E183)-DATEVALUE(D183))&gt;365,"Long Term","Short Term"),"")</f>
        <v/>
      </c>
    </row>
    <row r="184" customFormat="false" ht="15" hidden="false" customHeight="false" outlineLevel="0" collapsed="false">
      <c r="I184" s="0" t="str">
        <f aca="false">IF(F184&lt;&gt;"",F184*G184,"")</f>
        <v/>
      </c>
      <c r="J184" s="0" t="str">
        <f aca="false">IF(F184&lt;&gt;"",F184*H184,"")</f>
        <v/>
      </c>
      <c r="K184" s="0" t="str">
        <f aca="false">IF(J184&lt;&gt;"",I184-J184,"")</f>
        <v/>
      </c>
      <c r="L184" s="0" t="str">
        <f aca="false">IF(AND(J184&lt;&gt;"",J184&lt;&gt;0),K184/J184,"")</f>
        <v/>
      </c>
      <c r="M184" s="0" t="str">
        <f aca="false">IF(AND(D184&lt;&gt;"",E184&lt;&gt;""),IF((DATEVALUE(E184)-DATEVALUE(D184))&gt;365,"Long Term","Short Term"),"")</f>
        <v/>
      </c>
    </row>
    <row r="185" customFormat="false" ht="15" hidden="false" customHeight="false" outlineLevel="0" collapsed="false">
      <c r="I185" s="0" t="str">
        <f aca="false">IF(F185&lt;&gt;"",F185*G185,"")</f>
        <v/>
      </c>
      <c r="J185" s="0" t="str">
        <f aca="false">IF(F185&lt;&gt;"",F185*H185,"")</f>
        <v/>
      </c>
      <c r="K185" s="0" t="str">
        <f aca="false">IF(J185&lt;&gt;"",I185-J185,"")</f>
        <v/>
      </c>
      <c r="L185" s="0" t="str">
        <f aca="false">IF(AND(J185&lt;&gt;"",J185&lt;&gt;0),K185/J185,"")</f>
        <v/>
      </c>
      <c r="M185" s="0" t="str">
        <f aca="false">IF(AND(D185&lt;&gt;"",E185&lt;&gt;""),IF((DATEVALUE(E185)-DATEVALUE(D185))&gt;365,"Long Term","Short Term"),"")</f>
        <v/>
      </c>
    </row>
    <row r="186" customFormat="false" ht="15" hidden="false" customHeight="false" outlineLevel="0" collapsed="false">
      <c r="I186" s="0" t="str">
        <f aca="false">IF(F186&lt;&gt;"",F186*G186,"")</f>
        <v/>
      </c>
      <c r="J186" s="0" t="str">
        <f aca="false">IF(F186&lt;&gt;"",F186*H186,"")</f>
        <v/>
      </c>
      <c r="K186" s="0" t="str">
        <f aca="false">IF(J186&lt;&gt;"",I186-J186,"")</f>
        <v/>
      </c>
      <c r="L186" s="0" t="str">
        <f aca="false">IF(AND(J186&lt;&gt;"",J186&lt;&gt;0),K186/J186,"")</f>
        <v/>
      </c>
      <c r="M186" s="0" t="str">
        <f aca="false">IF(AND(D186&lt;&gt;"",E186&lt;&gt;""),IF((DATEVALUE(E186)-DATEVALUE(D186))&gt;365,"Long Term","Short Term"),"")</f>
        <v/>
      </c>
    </row>
    <row r="187" customFormat="false" ht="15" hidden="false" customHeight="false" outlineLevel="0" collapsed="false">
      <c r="I187" s="0" t="str">
        <f aca="false">IF(F187&lt;&gt;"",F187*G187,"")</f>
        <v/>
      </c>
      <c r="J187" s="0" t="str">
        <f aca="false">IF(F187&lt;&gt;"",F187*H187,"")</f>
        <v/>
      </c>
      <c r="K187" s="0" t="str">
        <f aca="false">IF(J187&lt;&gt;"",I187-J187,"")</f>
        <v/>
      </c>
      <c r="L187" s="0" t="str">
        <f aca="false">IF(AND(J187&lt;&gt;"",J187&lt;&gt;0),K187/J187,"")</f>
        <v/>
      </c>
      <c r="M187" s="0" t="str">
        <f aca="false">IF(AND(D187&lt;&gt;"",E187&lt;&gt;""),IF((DATEVALUE(E187)-DATEVALUE(D187))&gt;365,"Long Term","Short Term"),"")</f>
        <v/>
      </c>
    </row>
    <row r="188" customFormat="false" ht="15" hidden="false" customHeight="false" outlineLevel="0" collapsed="false">
      <c r="I188" s="0" t="str">
        <f aca="false">IF(F188&lt;&gt;"",F188*G188,"")</f>
        <v/>
      </c>
      <c r="J188" s="0" t="str">
        <f aca="false">IF(F188&lt;&gt;"",F188*H188,"")</f>
        <v/>
      </c>
      <c r="K188" s="0" t="str">
        <f aca="false">IF(J188&lt;&gt;"",I188-J188,"")</f>
        <v/>
      </c>
      <c r="L188" s="0" t="str">
        <f aca="false">IF(AND(J188&lt;&gt;"",J188&lt;&gt;0),K188/J188,"")</f>
        <v/>
      </c>
      <c r="M188" s="0" t="str">
        <f aca="false">IF(AND(D188&lt;&gt;"",E188&lt;&gt;""),IF((DATEVALUE(E188)-DATEVALUE(D188))&gt;365,"Long Term","Short Term"),"")</f>
        <v/>
      </c>
    </row>
    <row r="189" customFormat="false" ht="15" hidden="false" customHeight="false" outlineLevel="0" collapsed="false">
      <c r="I189" s="0" t="str">
        <f aca="false">IF(F189&lt;&gt;"",F189*G189,"")</f>
        <v/>
      </c>
      <c r="J189" s="0" t="str">
        <f aca="false">IF(F189&lt;&gt;"",F189*H189,"")</f>
        <v/>
      </c>
      <c r="K189" s="0" t="str">
        <f aca="false">IF(J189&lt;&gt;"",I189-J189,"")</f>
        <v/>
      </c>
      <c r="L189" s="0" t="str">
        <f aca="false">IF(AND(J189&lt;&gt;"",J189&lt;&gt;0),K189/J189,"")</f>
        <v/>
      </c>
      <c r="M189" s="0" t="str">
        <f aca="false">IF(AND(D189&lt;&gt;"",E189&lt;&gt;""),IF((DATEVALUE(E189)-DATEVALUE(D189))&gt;365,"Long Term","Short Term"),"")</f>
        <v/>
      </c>
    </row>
    <row r="190" customFormat="false" ht="15" hidden="false" customHeight="false" outlineLevel="0" collapsed="false">
      <c r="I190" s="0" t="str">
        <f aca="false">IF(F190&lt;&gt;"",F190*G190,"")</f>
        <v/>
      </c>
      <c r="J190" s="0" t="str">
        <f aca="false">IF(F190&lt;&gt;"",F190*H190,"")</f>
        <v/>
      </c>
      <c r="K190" s="0" t="str">
        <f aca="false">IF(J190&lt;&gt;"",I190-J190,"")</f>
        <v/>
      </c>
      <c r="L190" s="0" t="str">
        <f aca="false">IF(AND(J190&lt;&gt;"",J190&lt;&gt;0),K190/J190,"")</f>
        <v/>
      </c>
      <c r="M190" s="0" t="str">
        <f aca="false">IF(AND(D190&lt;&gt;"",E190&lt;&gt;""),IF((DATEVALUE(E190)-DATEVALUE(D190))&gt;365,"Long Term","Short Term"),"")</f>
        <v/>
      </c>
    </row>
    <row r="191" customFormat="false" ht="15" hidden="false" customHeight="false" outlineLevel="0" collapsed="false">
      <c r="I191" s="0" t="str">
        <f aca="false">IF(F191&lt;&gt;"",F191*G191,"")</f>
        <v/>
      </c>
      <c r="J191" s="0" t="str">
        <f aca="false">IF(F191&lt;&gt;"",F191*H191,"")</f>
        <v/>
      </c>
      <c r="K191" s="0" t="str">
        <f aca="false">IF(J191&lt;&gt;"",I191-J191,"")</f>
        <v/>
      </c>
      <c r="L191" s="0" t="str">
        <f aca="false">IF(AND(J191&lt;&gt;"",J191&lt;&gt;0),K191/J191,"")</f>
        <v/>
      </c>
      <c r="M191" s="0" t="str">
        <f aca="false">IF(AND(D191&lt;&gt;"",E191&lt;&gt;""),IF((DATEVALUE(E191)-DATEVALUE(D191))&gt;365,"Long Term","Short Term"),"")</f>
        <v/>
      </c>
    </row>
    <row r="192" customFormat="false" ht="15" hidden="false" customHeight="false" outlineLevel="0" collapsed="false">
      <c r="I192" s="0" t="str">
        <f aca="false">IF(F192&lt;&gt;"",F192*G192,"")</f>
        <v/>
      </c>
      <c r="J192" s="0" t="str">
        <f aca="false">IF(F192&lt;&gt;"",F192*H192,"")</f>
        <v/>
      </c>
      <c r="K192" s="0" t="str">
        <f aca="false">IF(J192&lt;&gt;"",I192-J192,"")</f>
        <v/>
      </c>
      <c r="L192" s="0" t="str">
        <f aca="false">IF(AND(J192&lt;&gt;"",J192&lt;&gt;0),K192/J192,"")</f>
        <v/>
      </c>
      <c r="M192" s="0" t="str">
        <f aca="false">IF(AND(D192&lt;&gt;"",E192&lt;&gt;""),IF((DATEVALUE(E192)-DATEVALUE(D192))&gt;365,"Long Term","Short Term"),"")</f>
        <v/>
      </c>
    </row>
    <row r="193" customFormat="false" ht="15" hidden="false" customHeight="false" outlineLevel="0" collapsed="false">
      <c r="I193" s="0" t="str">
        <f aca="false">IF(F193&lt;&gt;"",F193*G193,"")</f>
        <v/>
      </c>
      <c r="J193" s="0" t="str">
        <f aca="false">IF(F193&lt;&gt;"",F193*H193,"")</f>
        <v/>
      </c>
      <c r="K193" s="0" t="str">
        <f aca="false">IF(J193&lt;&gt;"",I193-J193,"")</f>
        <v/>
      </c>
      <c r="L193" s="0" t="str">
        <f aca="false">IF(AND(J193&lt;&gt;"",J193&lt;&gt;0),K193/J193,"")</f>
        <v/>
      </c>
      <c r="M193" s="0" t="str">
        <f aca="false">IF(AND(D193&lt;&gt;"",E193&lt;&gt;""),IF((DATEVALUE(E193)-DATEVALUE(D193))&gt;365,"Long Term","Short Term"),"")</f>
        <v/>
      </c>
    </row>
    <row r="194" customFormat="false" ht="15" hidden="false" customHeight="false" outlineLevel="0" collapsed="false">
      <c r="I194" s="0" t="str">
        <f aca="false">IF(F194&lt;&gt;"",F194*G194,"")</f>
        <v/>
      </c>
      <c r="J194" s="0" t="str">
        <f aca="false">IF(F194&lt;&gt;"",F194*H194,"")</f>
        <v/>
      </c>
      <c r="K194" s="0" t="str">
        <f aca="false">IF(J194&lt;&gt;"",I194-J194,"")</f>
        <v/>
      </c>
      <c r="L194" s="0" t="str">
        <f aca="false">IF(AND(J194&lt;&gt;"",J194&lt;&gt;0),K194/J194,"")</f>
        <v/>
      </c>
      <c r="M194" s="0" t="str">
        <f aca="false">IF(AND(D194&lt;&gt;"",E194&lt;&gt;""),IF((DATEVALUE(E194)-DATEVALUE(D194))&gt;365,"Long Term","Short Term"),"")</f>
        <v/>
      </c>
    </row>
    <row r="195" customFormat="false" ht="15" hidden="false" customHeight="false" outlineLevel="0" collapsed="false">
      <c r="I195" s="0" t="str">
        <f aca="false">IF(F195&lt;&gt;"",F195*G195,"")</f>
        <v/>
      </c>
      <c r="J195" s="0" t="str">
        <f aca="false">IF(F195&lt;&gt;"",F195*H195,"")</f>
        <v/>
      </c>
      <c r="K195" s="0" t="str">
        <f aca="false">IF(J195&lt;&gt;"",I195-J195,"")</f>
        <v/>
      </c>
      <c r="L195" s="0" t="str">
        <f aca="false">IF(AND(J195&lt;&gt;"",J195&lt;&gt;0),K195/J195,"")</f>
        <v/>
      </c>
      <c r="M195" s="0" t="str">
        <f aca="false">IF(AND(D195&lt;&gt;"",E195&lt;&gt;""),IF((DATEVALUE(E195)-DATEVALUE(D195))&gt;365,"Long Term","Short Term"),"")</f>
        <v/>
      </c>
    </row>
    <row r="196" customFormat="false" ht="15" hidden="false" customHeight="false" outlineLevel="0" collapsed="false">
      <c r="I196" s="0" t="str">
        <f aca="false">IF(F196&lt;&gt;"",F196*G196,"")</f>
        <v/>
      </c>
      <c r="J196" s="0" t="str">
        <f aca="false">IF(F196&lt;&gt;"",F196*H196,"")</f>
        <v/>
      </c>
      <c r="K196" s="0" t="str">
        <f aca="false">IF(J196&lt;&gt;"",I196-J196,"")</f>
        <v/>
      </c>
      <c r="L196" s="0" t="str">
        <f aca="false">IF(AND(J196&lt;&gt;"",J196&lt;&gt;0),K196/J196,"")</f>
        <v/>
      </c>
      <c r="M196" s="0" t="str">
        <f aca="false">IF(AND(D196&lt;&gt;"",E196&lt;&gt;""),IF((DATEVALUE(E196)-DATEVALUE(D196))&gt;365,"Long Term","Short Term"),"")</f>
        <v/>
      </c>
    </row>
    <row r="197" customFormat="false" ht="15" hidden="false" customHeight="false" outlineLevel="0" collapsed="false">
      <c r="I197" s="0" t="str">
        <f aca="false">IF(F197&lt;&gt;"",F197*G197,"")</f>
        <v/>
      </c>
      <c r="J197" s="0" t="str">
        <f aca="false">IF(F197&lt;&gt;"",F197*H197,"")</f>
        <v/>
      </c>
      <c r="K197" s="0" t="str">
        <f aca="false">IF(J197&lt;&gt;"",I197-J197,"")</f>
        <v/>
      </c>
      <c r="L197" s="0" t="str">
        <f aca="false">IF(AND(J197&lt;&gt;"",J197&lt;&gt;0),K197/J197,"")</f>
        <v/>
      </c>
      <c r="M197" s="0" t="str">
        <f aca="false">IF(AND(D197&lt;&gt;"",E197&lt;&gt;""),IF((DATEVALUE(E197)-DATEVALUE(D197))&gt;365,"Long Term","Short Term"),"")</f>
        <v/>
      </c>
    </row>
    <row r="198" customFormat="false" ht="15" hidden="false" customHeight="false" outlineLevel="0" collapsed="false">
      <c r="I198" s="0" t="str">
        <f aca="false">IF(F198&lt;&gt;"",F198*G198,"")</f>
        <v/>
      </c>
      <c r="J198" s="0" t="str">
        <f aca="false">IF(F198&lt;&gt;"",F198*H198,"")</f>
        <v/>
      </c>
      <c r="K198" s="0" t="str">
        <f aca="false">IF(J198&lt;&gt;"",I198-J198,"")</f>
        <v/>
      </c>
      <c r="L198" s="0" t="str">
        <f aca="false">IF(AND(J198&lt;&gt;"",J198&lt;&gt;0),K198/J198,"")</f>
        <v/>
      </c>
      <c r="M198" s="0" t="str">
        <f aca="false">IF(AND(D198&lt;&gt;"",E198&lt;&gt;""),IF((DATEVALUE(E198)-DATEVALUE(D198))&gt;365,"Long Term","Short Term"),"")</f>
        <v/>
      </c>
    </row>
    <row r="199" customFormat="false" ht="15" hidden="false" customHeight="false" outlineLevel="0" collapsed="false">
      <c r="I199" s="0" t="str">
        <f aca="false">IF(F199&lt;&gt;"",F199*G199,"")</f>
        <v/>
      </c>
      <c r="J199" s="0" t="str">
        <f aca="false">IF(F199&lt;&gt;"",F199*H199,"")</f>
        <v/>
      </c>
      <c r="K199" s="0" t="str">
        <f aca="false">IF(J199&lt;&gt;"",I199-J199,"")</f>
        <v/>
      </c>
      <c r="L199" s="0" t="str">
        <f aca="false">IF(AND(J199&lt;&gt;"",J199&lt;&gt;0),K199/J199,"")</f>
        <v/>
      </c>
      <c r="M199" s="0" t="str">
        <f aca="false">IF(AND(D199&lt;&gt;"",E199&lt;&gt;""),IF((DATEVALUE(E199)-DATEVALUE(D199))&gt;365,"Long Term","Short Term"),"")</f>
        <v/>
      </c>
    </row>
    <row r="200" customFormat="false" ht="15" hidden="false" customHeight="false" outlineLevel="0" collapsed="false">
      <c r="I200" s="0" t="str">
        <f aca="false">IF(F200&lt;&gt;"",F200*G200,"")</f>
        <v/>
      </c>
      <c r="J200" s="0" t="str">
        <f aca="false">IF(F200&lt;&gt;"",F200*H200,"")</f>
        <v/>
      </c>
      <c r="K200" s="0" t="str">
        <f aca="false">IF(J200&lt;&gt;"",I200-J200,"")</f>
        <v/>
      </c>
      <c r="L200" s="0" t="str">
        <f aca="false">IF(AND(J200&lt;&gt;"",J200&lt;&gt;0),K200/J200,"")</f>
        <v/>
      </c>
      <c r="M200" s="0" t="str">
        <f aca="false">IF(AND(D200&lt;&gt;"",E200&lt;&gt;""),IF((DATEVALUE(E200)-DATEVALUE(D200))&gt;365,"Long Term","Short Term"),"")</f>
        <v/>
      </c>
    </row>
    <row r="201" customFormat="false" ht="15" hidden="false" customHeight="false" outlineLevel="0" collapsed="false">
      <c r="I201" s="0" t="str">
        <f aca="false">IF(F201&lt;&gt;"",F201*G201,"")</f>
        <v/>
      </c>
      <c r="J201" s="0" t="str">
        <f aca="false">IF(F201&lt;&gt;"",F201*H201,"")</f>
        <v/>
      </c>
      <c r="K201" s="0" t="str">
        <f aca="false">IF(J201&lt;&gt;"",I201-J201,"")</f>
        <v/>
      </c>
      <c r="L201" s="0" t="str">
        <f aca="false">IF(AND(J201&lt;&gt;"",J201&lt;&gt;0),K201/J201,"")</f>
        <v/>
      </c>
      <c r="M201" s="0" t="str">
        <f aca="false">IF(AND(D201&lt;&gt;"",E201&lt;&gt;""),IF((DATEVALUE(E201)-DATEVALUE(D201))&gt;365,"Long Term","Short Term"),"")</f>
        <v/>
      </c>
    </row>
    <row r="202" customFormat="false" ht="15" hidden="false" customHeight="false" outlineLevel="0" collapsed="false">
      <c r="I202" s="0" t="str">
        <f aca="false">IF(F202&lt;&gt;"",F202*G202,"")</f>
        <v/>
      </c>
      <c r="J202" s="0" t="str">
        <f aca="false">IF(F202&lt;&gt;"",F202*H202,"")</f>
        <v/>
      </c>
      <c r="K202" s="0" t="str">
        <f aca="false">IF(J202&lt;&gt;"",I202-J202,"")</f>
        <v/>
      </c>
      <c r="L202" s="0" t="str">
        <f aca="false">IF(AND(J202&lt;&gt;"",J202&lt;&gt;0),K202/J202,"")</f>
        <v/>
      </c>
      <c r="M202" s="0" t="str">
        <f aca="false">IF(AND(D202&lt;&gt;"",E202&lt;&gt;""),IF((DATEVALUE(E202)-DATEVALUE(D202))&gt;365,"Long Term","Short Term"),"")</f>
        <v/>
      </c>
    </row>
    <row r="203" customFormat="false" ht="15" hidden="false" customHeight="false" outlineLevel="0" collapsed="false">
      <c r="I203" s="0" t="str">
        <f aca="false">IF(F203&lt;&gt;"",F203*G203,"")</f>
        <v/>
      </c>
      <c r="J203" s="0" t="str">
        <f aca="false">IF(F203&lt;&gt;"",F203*H203,"")</f>
        <v/>
      </c>
      <c r="K203" s="0" t="str">
        <f aca="false">IF(J203&lt;&gt;"",I203-J203,"")</f>
        <v/>
      </c>
      <c r="L203" s="0" t="str">
        <f aca="false">IF(AND(J203&lt;&gt;"",J203&lt;&gt;0),K203/J203,"")</f>
        <v/>
      </c>
      <c r="M203" s="0" t="str">
        <f aca="false">IF(AND(D203&lt;&gt;"",E203&lt;&gt;""),IF((DATEVALUE(E203)-DATEVALUE(D203))&gt;365,"Long Term","Short Term"),"")</f>
        <v/>
      </c>
    </row>
    <row r="204" customFormat="false" ht="15" hidden="false" customHeight="false" outlineLevel="0" collapsed="false">
      <c r="I204" s="0" t="str">
        <f aca="false">IF(F204&lt;&gt;"",F204*G204,"")</f>
        <v/>
      </c>
      <c r="J204" s="0" t="str">
        <f aca="false">IF(F204&lt;&gt;"",F204*H204,"")</f>
        <v/>
      </c>
      <c r="K204" s="0" t="str">
        <f aca="false">IF(J204&lt;&gt;"",I204-J204,"")</f>
        <v/>
      </c>
      <c r="L204" s="0" t="str">
        <f aca="false">IF(AND(J204&lt;&gt;"",J204&lt;&gt;0),K204/J204,"")</f>
        <v/>
      </c>
      <c r="M204" s="0" t="str">
        <f aca="false">IF(AND(D204&lt;&gt;"",E204&lt;&gt;""),IF((DATEVALUE(E204)-DATEVALUE(D204))&gt;365,"Long Term","Short Term"),"")</f>
        <v/>
      </c>
    </row>
    <row r="205" customFormat="false" ht="15" hidden="false" customHeight="false" outlineLevel="0" collapsed="false">
      <c r="I205" s="0" t="str">
        <f aca="false">IF(F205&lt;&gt;"",F205*G205,"")</f>
        <v/>
      </c>
      <c r="J205" s="0" t="str">
        <f aca="false">IF(F205&lt;&gt;"",F205*H205,"")</f>
        <v/>
      </c>
      <c r="K205" s="0" t="str">
        <f aca="false">IF(J205&lt;&gt;"",I205-J205,"")</f>
        <v/>
      </c>
      <c r="L205" s="0" t="str">
        <f aca="false">IF(AND(J205&lt;&gt;"",J205&lt;&gt;0),K205/J205,"")</f>
        <v/>
      </c>
      <c r="M205" s="0" t="str">
        <f aca="false">IF(AND(D205&lt;&gt;"",E205&lt;&gt;""),IF((DATEVALUE(E205)-DATEVALUE(D205))&gt;365,"Long Term","Short Term"),"")</f>
        <v/>
      </c>
    </row>
    <row r="206" customFormat="false" ht="15" hidden="false" customHeight="false" outlineLevel="0" collapsed="false">
      <c r="I206" s="0" t="str">
        <f aca="false">IF(F206&lt;&gt;"",F206*G206,"")</f>
        <v/>
      </c>
      <c r="J206" s="0" t="str">
        <f aca="false">IF(F206&lt;&gt;"",F206*H206,"")</f>
        <v/>
      </c>
      <c r="K206" s="0" t="str">
        <f aca="false">IF(J206&lt;&gt;"",I206-J206,"")</f>
        <v/>
      </c>
      <c r="L206" s="0" t="str">
        <f aca="false">IF(AND(J206&lt;&gt;"",J206&lt;&gt;0),K206/J206,"")</f>
        <v/>
      </c>
      <c r="M206" s="0" t="str">
        <f aca="false">IF(AND(D206&lt;&gt;"",E206&lt;&gt;""),IF((DATEVALUE(E206)-DATEVALUE(D206))&gt;365,"Long Term","Short Term"),"")</f>
        <v/>
      </c>
    </row>
    <row r="207" customFormat="false" ht="15" hidden="false" customHeight="false" outlineLevel="0" collapsed="false">
      <c r="I207" s="0" t="str">
        <f aca="false">IF(F207&lt;&gt;"",F207*G207,"")</f>
        <v/>
      </c>
      <c r="J207" s="0" t="str">
        <f aca="false">IF(F207&lt;&gt;"",F207*H207,"")</f>
        <v/>
      </c>
      <c r="K207" s="0" t="str">
        <f aca="false">IF(J207&lt;&gt;"",I207-J207,"")</f>
        <v/>
      </c>
      <c r="L207" s="0" t="str">
        <f aca="false">IF(AND(J207&lt;&gt;"",J207&lt;&gt;0),K207/J207,"")</f>
        <v/>
      </c>
      <c r="M207" s="0" t="str">
        <f aca="false">IF(AND(D207&lt;&gt;"",E207&lt;&gt;""),IF((DATEVALUE(E207)-DATEVALUE(D207))&gt;365,"Long Term","Short Term"),"")</f>
        <v/>
      </c>
    </row>
    <row r="208" customFormat="false" ht="15" hidden="false" customHeight="false" outlineLevel="0" collapsed="false">
      <c r="I208" s="0" t="str">
        <f aca="false">IF(F208&lt;&gt;"",F208*G208,"")</f>
        <v/>
      </c>
      <c r="J208" s="0" t="str">
        <f aca="false">IF(F208&lt;&gt;"",F208*H208,"")</f>
        <v/>
      </c>
      <c r="K208" s="0" t="str">
        <f aca="false">IF(J208&lt;&gt;"",I208-J208,"")</f>
        <v/>
      </c>
      <c r="L208" s="0" t="str">
        <f aca="false">IF(AND(J208&lt;&gt;"",J208&lt;&gt;0),K208/J208,"")</f>
        <v/>
      </c>
      <c r="M208" s="0" t="str">
        <f aca="false">IF(AND(D208&lt;&gt;"",E208&lt;&gt;""),IF((DATEVALUE(E208)-DATEVALUE(D208))&gt;365,"Long Term","Short Term"),"")</f>
        <v/>
      </c>
    </row>
    <row r="209" customFormat="false" ht="15" hidden="false" customHeight="false" outlineLevel="0" collapsed="false">
      <c r="I209" s="0" t="str">
        <f aca="false">IF(F209&lt;&gt;"",F209*G209,"")</f>
        <v/>
      </c>
      <c r="J209" s="0" t="str">
        <f aca="false">IF(F209&lt;&gt;"",F209*H209,"")</f>
        <v/>
      </c>
      <c r="K209" s="0" t="str">
        <f aca="false">IF(J209&lt;&gt;"",I209-J209,"")</f>
        <v/>
      </c>
      <c r="L209" s="0" t="str">
        <f aca="false">IF(AND(J209&lt;&gt;"",J209&lt;&gt;0),K209/J209,"")</f>
        <v/>
      </c>
      <c r="M209" s="0" t="str">
        <f aca="false">IF(AND(D209&lt;&gt;"",E209&lt;&gt;""),IF((DATEVALUE(E209)-DATEVALUE(D209))&gt;365,"Long Term","Short Term"),"")</f>
        <v/>
      </c>
    </row>
    <row r="210" customFormat="false" ht="15" hidden="false" customHeight="false" outlineLevel="0" collapsed="false">
      <c r="I210" s="0" t="str">
        <f aca="false">IF(F210&lt;&gt;"",F210*G210,"")</f>
        <v/>
      </c>
      <c r="J210" s="0" t="str">
        <f aca="false">IF(F210&lt;&gt;"",F210*H210,"")</f>
        <v/>
      </c>
      <c r="K210" s="0" t="str">
        <f aca="false">IF(J210&lt;&gt;"",I210-J210,"")</f>
        <v/>
      </c>
      <c r="L210" s="0" t="str">
        <f aca="false">IF(AND(J210&lt;&gt;"",J210&lt;&gt;0),K210/J210,"")</f>
        <v/>
      </c>
      <c r="M210" s="0" t="str">
        <f aca="false">IF(AND(D210&lt;&gt;"",E210&lt;&gt;""),IF((DATEVALUE(E210)-DATEVALUE(D210))&gt;365,"Long Term","Short Term"),"")</f>
        <v/>
      </c>
    </row>
    <row r="211" customFormat="false" ht="15" hidden="false" customHeight="false" outlineLevel="0" collapsed="false">
      <c r="I211" s="0" t="str">
        <f aca="false">IF(F211&lt;&gt;"",F211*G211,"")</f>
        <v/>
      </c>
      <c r="J211" s="0" t="str">
        <f aca="false">IF(F211&lt;&gt;"",F211*H211,"")</f>
        <v/>
      </c>
      <c r="K211" s="0" t="str">
        <f aca="false">IF(J211&lt;&gt;"",I211-J211,"")</f>
        <v/>
      </c>
      <c r="L211" s="0" t="str">
        <f aca="false">IF(AND(J211&lt;&gt;"",J211&lt;&gt;0),K211/J211,"")</f>
        <v/>
      </c>
      <c r="M211" s="0" t="str">
        <f aca="false">IF(AND(D211&lt;&gt;"",E211&lt;&gt;""),IF((DATEVALUE(E211)-DATEVALUE(D211))&gt;365,"Long Term","Short Term"),"")</f>
        <v/>
      </c>
    </row>
    <row r="212" customFormat="false" ht="15" hidden="false" customHeight="false" outlineLevel="0" collapsed="false">
      <c r="I212" s="0" t="str">
        <f aca="false">IF(F212&lt;&gt;"",F212*G212,"")</f>
        <v/>
      </c>
      <c r="J212" s="0" t="str">
        <f aca="false">IF(F212&lt;&gt;"",F212*H212,"")</f>
        <v/>
      </c>
      <c r="K212" s="0" t="str">
        <f aca="false">IF(J212&lt;&gt;"",I212-J212,"")</f>
        <v/>
      </c>
      <c r="L212" s="0" t="str">
        <f aca="false">IF(AND(J212&lt;&gt;"",J212&lt;&gt;0),K212/J212,"")</f>
        <v/>
      </c>
      <c r="M212" s="0" t="str">
        <f aca="false">IF(AND(D212&lt;&gt;"",E212&lt;&gt;""),IF((DATEVALUE(E212)-DATEVALUE(D212))&gt;365,"Long Term","Short Term"),"")</f>
        <v/>
      </c>
    </row>
    <row r="213" customFormat="false" ht="15" hidden="false" customHeight="false" outlineLevel="0" collapsed="false">
      <c r="I213" s="0" t="str">
        <f aca="false">IF(F213&lt;&gt;"",F213*G213,"")</f>
        <v/>
      </c>
      <c r="J213" s="0" t="str">
        <f aca="false">IF(F213&lt;&gt;"",F213*H213,"")</f>
        <v/>
      </c>
      <c r="K213" s="0" t="str">
        <f aca="false">IF(J213&lt;&gt;"",I213-J213,"")</f>
        <v/>
      </c>
      <c r="L213" s="0" t="str">
        <f aca="false">IF(AND(J213&lt;&gt;"",J213&lt;&gt;0),K213/J213,"")</f>
        <v/>
      </c>
      <c r="M213" s="0" t="str">
        <f aca="false">IF(AND(D213&lt;&gt;"",E213&lt;&gt;""),IF((DATEVALUE(E213)-DATEVALUE(D213))&gt;365,"Long Term","Short Term"),"")</f>
        <v/>
      </c>
    </row>
    <row r="214" customFormat="false" ht="15" hidden="false" customHeight="false" outlineLevel="0" collapsed="false">
      <c r="I214" s="0" t="str">
        <f aca="false">IF(F214&lt;&gt;"",F214*G214,"")</f>
        <v/>
      </c>
      <c r="J214" s="0" t="str">
        <f aca="false">IF(F214&lt;&gt;"",F214*H214,"")</f>
        <v/>
      </c>
      <c r="K214" s="0" t="str">
        <f aca="false">IF(J214&lt;&gt;"",I214-J214,"")</f>
        <v/>
      </c>
      <c r="L214" s="0" t="str">
        <f aca="false">IF(AND(J214&lt;&gt;"",J214&lt;&gt;0),K214/J214,"")</f>
        <v/>
      </c>
      <c r="M214" s="0" t="str">
        <f aca="false">IF(AND(D214&lt;&gt;"",E214&lt;&gt;""),IF((DATEVALUE(E214)-DATEVALUE(D214))&gt;365,"Long Term","Short Term"),"")</f>
        <v/>
      </c>
    </row>
    <row r="215" customFormat="false" ht="15" hidden="false" customHeight="false" outlineLevel="0" collapsed="false">
      <c r="I215" s="0" t="str">
        <f aca="false">IF(F215&lt;&gt;"",F215*G215,"")</f>
        <v/>
      </c>
      <c r="J215" s="0" t="str">
        <f aca="false">IF(F215&lt;&gt;"",F215*H215,"")</f>
        <v/>
      </c>
      <c r="K215" s="0" t="str">
        <f aca="false">IF(J215&lt;&gt;"",I215-J215,"")</f>
        <v/>
      </c>
      <c r="L215" s="0" t="str">
        <f aca="false">IF(AND(J215&lt;&gt;"",J215&lt;&gt;0),K215/J215,"")</f>
        <v/>
      </c>
      <c r="M215" s="0" t="str">
        <f aca="false">IF(AND(D215&lt;&gt;"",E215&lt;&gt;""),IF((DATEVALUE(E215)-DATEVALUE(D215))&gt;365,"Long Term","Short Term"),"")</f>
        <v/>
      </c>
    </row>
    <row r="216" customFormat="false" ht="15" hidden="false" customHeight="false" outlineLevel="0" collapsed="false">
      <c r="I216" s="0" t="str">
        <f aca="false">IF(F216&lt;&gt;"",F216*G216,"")</f>
        <v/>
      </c>
      <c r="J216" s="0" t="str">
        <f aca="false">IF(F216&lt;&gt;"",F216*H216,"")</f>
        <v/>
      </c>
      <c r="K216" s="0" t="str">
        <f aca="false">IF(J216&lt;&gt;"",I216-J216,"")</f>
        <v/>
      </c>
      <c r="L216" s="0" t="str">
        <f aca="false">IF(AND(J216&lt;&gt;"",J216&lt;&gt;0),K216/J216,"")</f>
        <v/>
      </c>
      <c r="M216" s="0" t="str">
        <f aca="false">IF(AND(D216&lt;&gt;"",E216&lt;&gt;""),IF((DATEVALUE(E216)-DATEVALUE(D216))&gt;365,"Long Term","Short Term"),"")</f>
        <v/>
      </c>
    </row>
    <row r="217" customFormat="false" ht="15" hidden="false" customHeight="false" outlineLevel="0" collapsed="false">
      <c r="I217" s="0" t="str">
        <f aca="false">IF(F217&lt;&gt;"",F217*G217,"")</f>
        <v/>
      </c>
      <c r="J217" s="0" t="str">
        <f aca="false">IF(F217&lt;&gt;"",F217*H217,"")</f>
        <v/>
      </c>
      <c r="K217" s="0" t="str">
        <f aca="false">IF(J217&lt;&gt;"",I217-J217,"")</f>
        <v/>
      </c>
      <c r="L217" s="0" t="str">
        <f aca="false">IF(AND(J217&lt;&gt;"",J217&lt;&gt;0),K217/J217,"")</f>
        <v/>
      </c>
      <c r="M217" s="0" t="str">
        <f aca="false">IF(AND(D217&lt;&gt;"",E217&lt;&gt;""),IF((DATEVALUE(E217)-DATEVALUE(D217))&gt;365,"Long Term","Short Term"),"")</f>
        <v/>
      </c>
    </row>
    <row r="218" customFormat="false" ht="15" hidden="false" customHeight="false" outlineLevel="0" collapsed="false">
      <c r="I218" s="0" t="str">
        <f aca="false">IF(F218&lt;&gt;"",F218*G218,"")</f>
        <v/>
      </c>
      <c r="J218" s="0" t="str">
        <f aca="false">IF(F218&lt;&gt;"",F218*H218,"")</f>
        <v/>
      </c>
      <c r="K218" s="0" t="str">
        <f aca="false">IF(J218&lt;&gt;"",I218-J218,"")</f>
        <v/>
      </c>
      <c r="L218" s="0" t="str">
        <f aca="false">IF(AND(J218&lt;&gt;"",J218&lt;&gt;0),K218/J218,"")</f>
        <v/>
      </c>
      <c r="M218" s="0" t="str">
        <f aca="false">IF(AND(D218&lt;&gt;"",E218&lt;&gt;""),IF((DATEVALUE(E218)-DATEVALUE(D218))&gt;365,"Long Term","Short Term"),"")</f>
        <v/>
      </c>
    </row>
    <row r="219" customFormat="false" ht="15" hidden="false" customHeight="false" outlineLevel="0" collapsed="false">
      <c r="I219" s="0" t="str">
        <f aca="false">IF(F219&lt;&gt;"",F219*G219,"")</f>
        <v/>
      </c>
      <c r="J219" s="0" t="str">
        <f aca="false">IF(F219&lt;&gt;"",F219*H219,"")</f>
        <v/>
      </c>
      <c r="K219" s="0" t="str">
        <f aca="false">IF(J219&lt;&gt;"",I219-J219,"")</f>
        <v/>
      </c>
      <c r="L219" s="0" t="str">
        <f aca="false">IF(AND(J219&lt;&gt;"",J219&lt;&gt;0),K219/J219,"")</f>
        <v/>
      </c>
      <c r="M219" s="0" t="str">
        <f aca="false">IF(AND(D219&lt;&gt;"",E219&lt;&gt;""),IF((DATEVALUE(E219)-DATEVALUE(D219))&gt;365,"Long Term","Short Term"),"")</f>
        <v/>
      </c>
    </row>
    <row r="220" customFormat="false" ht="15" hidden="false" customHeight="false" outlineLevel="0" collapsed="false">
      <c r="I220" s="0" t="str">
        <f aca="false">IF(F220&lt;&gt;"",F220*G220,"")</f>
        <v/>
      </c>
      <c r="J220" s="0" t="str">
        <f aca="false">IF(F220&lt;&gt;"",F220*H220,"")</f>
        <v/>
      </c>
      <c r="K220" s="0" t="str">
        <f aca="false">IF(J220&lt;&gt;"",I220-J220,"")</f>
        <v/>
      </c>
      <c r="L220" s="0" t="str">
        <f aca="false">IF(AND(J220&lt;&gt;"",J220&lt;&gt;0),K220/J220,"")</f>
        <v/>
      </c>
      <c r="M220" s="0" t="str">
        <f aca="false">IF(AND(D220&lt;&gt;"",E220&lt;&gt;""),IF((DATEVALUE(E220)-DATEVALUE(D220))&gt;365,"Long Term","Short Term"),"")</f>
        <v/>
      </c>
    </row>
    <row r="221" customFormat="false" ht="15" hidden="false" customHeight="false" outlineLevel="0" collapsed="false">
      <c r="I221" s="0" t="str">
        <f aca="false">IF(F221&lt;&gt;"",F221*G221,"")</f>
        <v/>
      </c>
      <c r="J221" s="0" t="str">
        <f aca="false">IF(F221&lt;&gt;"",F221*H221,"")</f>
        <v/>
      </c>
      <c r="K221" s="0" t="str">
        <f aca="false">IF(J221&lt;&gt;"",I221-J221,"")</f>
        <v/>
      </c>
      <c r="L221" s="0" t="str">
        <f aca="false">IF(AND(J221&lt;&gt;"",J221&lt;&gt;0),K221/J221,"")</f>
        <v/>
      </c>
      <c r="M221" s="0" t="str">
        <f aca="false">IF(AND(D221&lt;&gt;"",E221&lt;&gt;""),IF((DATEVALUE(E221)-DATEVALUE(D221))&gt;365,"Long Term","Short Term"),"")</f>
        <v/>
      </c>
    </row>
    <row r="222" customFormat="false" ht="15" hidden="false" customHeight="false" outlineLevel="0" collapsed="false">
      <c r="I222" s="0" t="str">
        <f aca="false">IF(F222&lt;&gt;"",F222*G222,"")</f>
        <v/>
      </c>
      <c r="J222" s="0" t="str">
        <f aca="false">IF(F222&lt;&gt;"",F222*H222,"")</f>
        <v/>
      </c>
      <c r="K222" s="0" t="str">
        <f aca="false">IF(J222&lt;&gt;"",I222-J222,"")</f>
        <v/>
      </c>
      <c r="L222" s="0" t="str">
        <f aca="false">IF(AND(J222&lt;&gt;"",J222&lt;&gt;0),K222/J222,"")</f>
        <v/>
      </c>
      <c r="M222" s="0" t="str">
        <f aca="false">IF(AND(D222&lt;&gt;"",E222&lt;&gt;""),IF((DATEVALUE(E222)-DATEVALUE(D222))&gt;365,"Long Term","Short Term"),"")</f>
        <v/>
      </c>
    </row>
    <row r="223" customFormat="false" ht="15" hidden="false" customHeight="false" outlineLevel="0" collapsed="false">
      <c r="I223" s="0" t="str">
        <f aca="false">IF(F223&lt;&gt;"",F223*G223,"")</f>
        <v/>
      </c>
      <c r="J223" s="0" t="str">
        <f aca="false">IF(F223&lt;&gt;"",F223*H223,"")</f>
        <v/>
      </c>
      <c r="K223" s="0" t="str">
        <f aca="false">IF(J223&lt;&gt;"",I223-J223,"")</f>
        <v/>
      </c>
      <c r="L223" s="0" t="str">
        <f aca="false">IF(AND(J223&lt;&gt;"",J223&lt;&gt;0),K223/J223,"")</f>
        <v/>
      </c>
      <c r="M223" s="0" t="str">
        <f aca="false">IF(AND(D223&lt;&gt;"",E223&lt;&gt;""),IF((DATEVALUE(E223)-DATEVALUE(D223))&gt;365,"Long Term","Short Term"),"")</f>
        <v/>
      </c>
    </row>
    <row r="224" customFormat="false" ht="15" hidden="false" customHeight="false" outlineLevel="0" collapsed="false">
      <c r="I224" s="0" t="str">
        <f aca="false">IF(F224&lt;&gt;"",F224*G224,"")</f>
        <v/>
      </c>
      <c r="J224" s="0" t="str">
        <f aca="false">IF(F224&lt;&gt;"",F224*H224,"")</f>
        <v/>
      </c>
      <c r="K224" s="0" t="str">
        <f aca="false">IF(J224&lt;&gt;"",I224-J224,"")</f>
        <v/>
      </c>
      <c r="L224" s="0" t="str">
        <f aca="false">IF(AND(J224&lt;&gt;"",J224&lt;&gt;0),K224/J224,"")</f>
        <v/>
      </c>
      <c r="M224" s="0" t="str">
        <f aca="false">IF(AND(D224&lt;&gt;"",E224&lt;&gt;""),IF((DATEVALUE(E224)-DATEVALUE(D224))&gt;365,"Long Term","Short Term"),"")</f>
        <v/>
      </c>
    </row>
    <row r="225" customFormat="false" ht="15" hidden="false" customHeight="false" outlineLevel="0" collapsed="false">
      <c r="I225" s="0" t="str">
        <f aca="false">IF(F225&lt;&gt;"",F225*G225,"")</f>
        <v/>
      </c>
      <c r="J225" s="0" t="str">
        <f aca="false">IF(F225&lt;&gt;"",F225*H225,"")</f>
        <v/>
      </c>
      <c r="K225" s="0" t="str">
        <f aca="false">IF(J225&lt;&gt;"",I225-J225,"")</f>
        <v/>
      </c>
      <c r="L225" s="0" t="str">
        <f aca="false">IF(AND(J225&lt;&gt;"",J225&lt;&gt;0),K225/J225,"")</f>
        <v/>
      </c>
      <c r="M225" s="0" t="str">
        <f aca="false">IF(AND(D225&lt;&gt;"",E225&lt;&gt;""),IF((DATEVALUE(E225)-DATEVALUE(D225))&gt;365,"Long Term","Short Term"),"")</f>
        <v/>
      </c>
    </row>
    <row r="226" customFormat="false" ht="15" hidden="false" customHeight="false" outlineLevel="0" collapsed="false">
      <c r="I226" s="0" t="str">
        <f aca="false">IF(F226&lt;&gt;"",F226*G226,"")</f>
        <v/>
      </c>
      <c r="J226" s="0" t="str">
        <f aca="false">IF(F226&lt;&gt;"",F226*H226,"")</f>
        <v/>
      </c>
      <c r="K226" s="0" t="str">
        <f aca="false">IF(J226&lt;&gt;"",I226-J226,"")</f>
        <v/>
      </c>
      <c r="L226" s="0" t="str">
        <f aca="false">IF(AND(J226&lt;&gt;"",J226&lt;&gt;0),K226/J226,"")</f>
        <v/>
      </c>
      <c r="M226" s="0" t="str">
        <f aca="false">IF(AND(D226&lt;&gt;"",E226&lt;&gt;""),IF((DATEVALUE(E226)-DATEVALUE(D226))&gt;365,"Long Term","Short Term"),"")</f>
        <v/>
      </c>
    </row>
    <row r="227" customFormat="false" ht="15" hidden="false" customHeight="false" outlineLevel="0" collapsed="false">
      <c r="I227" s="0" t="str">
        <f aca="false">IF(F227&lt;&gt;"",F227*G227,"")</f>
        <v/>
      </c>
      <c r="J227" s="0" t="str">
        <f aca="false">IF(F227&lt;&gt;"",F227*H227,"")</f>
        <v/>
      </c>
      <c r="K227" s="0" t="str">
        <f aca="false">IF(J227&lt;&gt;"",I227-J227,"")</f>
        <v/>
      </c>
      <c r="L227" s="0" t="str">
        <f aca="false">IF(AND(J227&lt;&gt;"",J227&lt;&gt;0),K227/J227,"")</f>
        <v/>
      </c>
      <c r="M227" s="0" t="str">
        <f aca="false">IF(AND(D227&lt;&gt;"",E227&lt;&gt;""),IF((DATEVALUE(E227)-DATEVALUE(D227))&gt;365,"Long Term","Short Term"),"")</f>
        <v/>
      </c>
    </row>
    <row r="228" customFormat="false" ht="15" hidden="false" customHeight="false" outlineLevel="0" collapsed="false">
      <c r="I228" s="0" t="str">
        <f aca="false">IF(F228&lt;&gt;"",F228*G228,"")</f>
        <v/>
      </c>
      <c r="J228" s="0" t="str">
        <f aca="false">IF(F228&lt;&gt;"",F228*H228,"")</f>
        <v/>
      </c>
      <c r="K228" s="0" t="str">
        <f aca="false">IF(J228&lt;&gt;"",I228-J228,"")</f>
        <v/>
      </c>
      <c r="L228" s="0" t="str">
        <f aca="false">IF(AND(J228&lt;&gt;"",J228&lt;&gt;0),K228/J228,"")</f>
        <v/>
      </c>
      <c r="M228" s="0" t="str">
        <f aca="false">IF(AND(D228&lt;&gt;"",E228&lt;&gt;""),IF((DATEVALUE(E228)-DATEVALUE(D228))&gt;365,"Long Term","Short Term"),"")</f>
        <v/>
      </c>
    </row>
    <row r="229" customFormat="false" ht="15" hidden="false" customHeight="false" outlineLevel="0" collapsed="false">
      <c r="I229" s="0" t="str">
        <f aca="false">IF(F229&lt;&gt;"",F229*G229,"")</f>
        <v/>
      </c>
      <c r="J229" s="0" t="str">
        <f aca="false">IF(F229&lt;&gt;"",F229*H229,"")</f>
        <v/>
      </c>
      <c r="K229" s="0" t="str">
        <f aca="false">IF(J229&lt;&gt;"",I229-J229,"")</f>
        <v/>
      </c>
      <c r="L229" s="0" t="str">
        <f aca="false">IF(AND(J229&lt;&gt;"",J229&lt;&gt;0),K229/J229,"")</f>
        <v/>
      </c>
      <c r="M229" s="0" t="str">
        <f aca="false">IF(AND(D229&lt;&gt;"",E229&lt;&gt;""),IF((DATEVALUE(E229)-DATEVALUE(D229))&gt;365,"Long Term","Short Term"),"")</f>
        <v/>
      </c>
    </row>
    <row r="230" customFormat="false" ht="15" hidden="false" customHeight="false" outlineLevel="0" collapsed="false">
      <c r="I230" s="0" t="str">
        <f aca="false">IF(F230&lt;&gt;"",F230*G230,"")</f>
        <v/>
      </c>
      <c r="J230" s="0" t="str">
        <f aca="false">IF(F230&lt;&gt;"",F230*H230,"")</f>
        <v/>
      </c>
      <c r="K230" s="0" t="str">
        <f aca="false">IF(J230&lt;&gt;"",I230-J230,"")</f>
        <v/>
      </c>
      <c r="L230" s="0" t="str">
        <f aca="false">IF(AND(J230&lt;&gt;"",J230&lt;&gt;0),K230/J230,"")</f>
        <v/>
      </c>
      <c r="M230" s="0" t="str">
        <f aca="false">IF(AND(D230&lt;&gt;"",E230&lt;&gt;""),IF((DATEVALUE(E230)-DATEVALUE(D230))&gt;365,"Long Term","Short Term"),"")</f>
        <v/>
      </c>
    </row>
    <row r="231" customFormat="false" ht="15" hidden="false" customHeight="false" outlineLevel="0" collapsed="false">
      <c r="I231" s="0" t="str">
        <f aca="false">IF(F231&lt;&gt;"",F231*G231,"")</f>
        <v/>
      </c>
      <c r="J231" s="0" t="str">
        <f aca="false">IF(F231&lt;&gt;"",F231*H231,"")</f>
        <v/>
      </c>
      <c r="K231" s="0" t="str">
        <f aca="false">IF(J231&lt;&gt;"",I231-J231,"")</f>
        <v/>
      </c>
      <c r="L231" s="0" t="str">
        <f aca="false">IF(AND(J231&lt;&gt;"",J231&lt;&gt;0),K231/J231,"")</f>
        <v/>
      </c>
      <c r="M231" s="0" t="str">
        <f aca="false">IF(AND(D231&lt;&gt;"",E231&lt;&gt;""),IF((DATEVALUE(E231)-DATEVALUE(D231))&gt;365,"Long Term","Short Term"),"")</f>
        <v/>
      </c>
    </row>
    <row r="232" customFormat="false" ht="15" hidden="false" customHeight="false" outlineLevel="0" collapsed="false">
      <c r="I232" s="0" t="str">
        <f aca="false">IF(F232&lt;&gt;"",F232*G232,"")</f>
        <v/>
      </c>
      <c r="J232" s="0" t="str">
        <f aca="false">IF(F232&lt;&gt;"",F232*H232,"")</f>
        <v/>
      </c>
      <c r="K232" s="0" t="str">
        <f aca="false">IF(J232&lt;&gt;"",I232-J232,"")</f>
        <v/>
      </c>
      <c r="L232" s="0" t="str">
        <f aca="false">IF(AND(J232&lt;&gt;"",J232&lt;&gt;0),K232/J232,"")</f>
        <v/>
      </c>
      <c r="M232" s="0" t="str">
        <f aca="false">IF(AND(D232&lt;&gt;"",E232&lt;&gt;""),IF((DATEVALUE(E232)-DATEVALUE(D232))&gt;365,"Long Term","Short Term"),"")</f>
        <v/>
      </c>
    </row>
    <row r="233" customFormat="false" ht="15" hidden="false" customHeight="false" outlineLevel="0" collapsed="false">
      <c r="I233" s="0" t="str">
        <f aca="false">IF(F233&lt;&gt;"",F233*G233,"")</f>
        <v/>
      </c>
      <c r="J233" s="0" t="str">
        <f aca="false">IF(F233&lt;&gt;"",F233*H233,"")</f>
        <v/>
      </c>
      <c r="K233" s="0" t="str">
        <f aca="false">IF(J233&lt;&gt;"",I233-J233,"")</f>
        <v/>
      </c>
      <c r="L233" s="0" t="str">
        <f aca="false">IF(AND(J233&lt;&gt;"",J233&lt;&gt;0),K233/J233,"")</f>
        <v/>
      </c>
      <c r="M233" s="0" t="str">
        <f aca="false">IF(AND(D233&lt;&gt;"",E233&lt;&gt;""),IF((DATEVALUE(E233)-DATEVALUE(D233))&gt;365,"Long Term","Short Term"),"")</f>
        <v/>
      </c>
    </row>
    <row r="234" customFormat="false" ht="15" hidden="false" customHeight="false" outlineLevel="0" collapsed="false">
      <c r="I234" s="0" t="str">
        <f aca="false">IF(F234&lt;&gt;"",F234*G234,"")</f>
        <v/>
      </c>
      <c r="J234" s="0" t="str">
        <f aca="false">IF(F234&lt;&gt;"",F234*H234,"")</f>
        <v/>
      </c>
      <c r="K234" s="0" t="str">
        <f aca="false">IF(J234&lt;&gt;"",I234-J234,"")</f>
        <v/>
      </c>
      <c r="L234" s="0" t="str">
        <f aca="false">IF(AND(J234&lt;&gt;"",J234&lt;&gt;0),K234/J234,"")</f>
        <v/>
      </c>
      <c r="M234" s="0" t="str">
        <f aca="false">IF(AND(D234&lt;&gt;"",E234&lt;&gt;""),IF((DATEVALUE(E234)-DATEVALUE(D234))&gt;365,"Long Term","Short Term"),"")</f>
        <v/>
      </c>
    </row>
    <row r="235" customFormat="false" ht="15" hidden="false" customHeight="false" outlineLevel="0" collapsed="false">
      <c r="I235" s="0" t="str">
        <f aca="false">IF(F235&lt;&gt;"",F235*G235,"")</f>
        <v/>
      </c>
      <c r="J235" s="0" t="str">
        <f aca="false">IF(F235&lt;&gt;"",F235*H235,"")</f>
        <v/>
      </c>
      <c r="K235" s="0" t="str">
        <f aca="false">IF(J235&lt;&gt;"",I235-J235,"")</f>
        <v/>
      </c>
      <c r="L235" s="0" t="str">
        <f aca="false">IF(AND(J235&lt;&gt;"",J235&lt;&gt;0),K235/J235,"")</f>
        <v/>
      </c>
      <c r="M235" s="0" t="str">
        <f aca="false">IF(AND(D235&lt;&gt;"",E235&lt;&gt;""),IF((DATEVALUE(E235)-DATEVALUE(D235))&gt;365,"Long Term","Short Term"),"")</f>
        <v/>
      </c>
    </row>
    <row r="236" customFormat="false" ht="15" hidden="false" customHeight="false" outlineLevel="0" collapsed="false">
      <c r="I236" s="0" t="str">
        <f aca="false">IF(F236&lt;&gt;"",F236*G236,"")</f>
        <v/>
      </c>
      <c r="J236" s="0" t="str">
        <f aca="false">IF(F236&lt;&gt;"",F236*H236,"")</f>
        <v/>
      </c>
      <c r="K236" s="0" t="str">
        <f aca="false">IF(J236&lt;&gt;"",I236-J236,"")</f>
        <v/>
      </c>
      <c r="L236" s="0" t="str">
        <f aca="false">IF(AND(J236&lt;&gt;"",J236&lt;&gt;0),K236/J236,"")</f>
        <v/>
      </c>
      <c r="M236" s="0" t="str">
        <f aca="false">IF(AND(D236&lt;&gt;"",E236&lt;&gt;""),IF((DATEVALUE(E236)-DATEVALUE(D236))&gt;365,"Long Term","Short Term"),"")</f>
        <v/>
      </c>
    </row>
    <row r="237" customFormat="false" ht="15" hidden="false" customHeight="false" outlineLevel="0" collapsed="false">
      <c r="I237" s="0" t="str">
        <f aca="false">IF(F237&lt;&gt;"",F237*G237,"")</f>
        <v/>
      </c>
      <c r="J237" s="0" t="str">
        <f aca="false">IF(F237&lt;&gt;"",F237*H237,"")</f>
        <v/>
      </c>
      <c r="K237" s="0" t="str">
        <f aca="false">IF(J237&lt;&gt;"",I237-J237,"")</f>
        <v/>
      </c>
      <c r="L237" s="0" t="str">
        <f aca="false">IF(AND(J237&lt;&gt;"",J237&lt;&gt;0),K237/J237,"")</f>
        <v/>
      </c>
      <c r="M237" s="0" t="str">
        <f aca="false">IF(AND(D237&lt;&gt;"",E237&lt;&gt;""),IF((DATEVALUE(E237)-DATEVALUE(D237))&gt;365,"Long Term","Short Term"),"")</f>
        <v/>
      </c>
    </row>
    <row r="238" customFormat="false" ht="15" hidden="false" customHeight="false" outlineLevel="0" collapsed="false">
      <c r="I238" s="0" t="str">
        <f aca="false">IF(F238&lt;&gt;"",F238*G238,"")</f>
        <v/>
      </c>
      <c r="J238" s="0" t="str">
        <f aca="false">IF(F238&lt;&gt;"",F238*H238,"")</f>
        <v/>
      </c>
      <c r="K238" s="0" t="str">
        <f aca="false">IF(J238&lt;&gt;"",I238-J238,"")</f>
        <v/>
      </c>
      <c r="L238" s="0" t="str">
        <f aca="false">IF(AND(J238&lt;&gt;"",J238&lt;&gt;0),K238/J238,"")</f>
        <v/>
      </c>
      <c r="M238" s="0" t="str">
        <f aca="false">IF(AND(D238&lt;&gt;"",E238&lt;&gt;""),IF((DATEVALUE(E238)-DATEVALUE(D238))&gt;365,"Long Term","Short Term"),"")</f>
        <v/>
      </c>
    </row>
    <row r="239" customFormat="false" ht="15" hidden="false" customHeight="false" outlineLevel="0" collapsed="false">
      <c r="I239" s="0" t="str">
        <f aca="false">IF(F239&lt;&gt;"",F239*G239,"")</f>
        <v/>
      </c>
      <c r="J239" s="0" t="str">
        <f aca="false">IF(F239&lt;&gt;"",F239*H239,"")</f>
        <v/>
      </c>
      <c r="K239" s="0" t="str">
        <f aca="false">IF(J239&lt;&gt;"",I239-J239,"")</f>
        <v/>
      </c>
      <c r="L239" s="0" t="str">
        <f aca="false">IF(AND(J239&lt;&gt;"",J239&lt;&gt;0),K239/J239,"")</f>
        <v/>
      </c>
      <c r="M239" s="0" t="str">
        <f aca="false">IF(AND(D239&lt;&gt;"",E239&lt;&gt;""),IF((DATEVALUE(E239)-DATEVALUE(D239))&gt;365,"Long Term","Short Term"),"")</f>
        <v/>
      </c>
    </row>
    <row r="240" customFormat="false" ht="15" hidden="false" customHeight="false" outlineLevel="0" collapsed="false">
      <c r="I240" s="0" t="str">
        <f aca="false">IF(F240&lt;&gt;"",F240*G240,"")</f>
        <v/>
      </c>
      <c r="J240" s="0" t="str">
        <f aca="false">IF(F240&lt;&gt;"",F240*H240,"")</f>
        <v/>
      </c>
      <c r="K240" s="0" t="str">
        <f aca="false">IF(J240&lt;&gt;"",I240-J240,"")</f>
        <v/>
      </c>
      <c r="L240" s="0" t="str">
        <f aca="false">IF(AND(J240&lt;&gt;"",J240&lt;&gt;0),K240/J240,"")</f>
        <v/>
      </c>
      <c r="M240" s="0" t="str">
        <f aca="false">IF(AND(D240&lt;&gt;"",E240&lt;&gt;""),IF((DATEVALUE(E240)-DATEVALUE(D240))&gt;365,"Long Term","Short Term"),"")</f>
        <v/>
      </c>
    </row>
    <row r="241" customFormat="false" ht="15" hidden="false" customHeight="false" outlineLevel="0" collapsed="false">
      <c r="I241" s="0" t="str">
        <f aca="false">IF(F241&lt;&gt;"",F241*G241,"")</f>
        <v/>
      </c>
      <c r="J241" s="0" t="str">
        <f aca="false">IF(F241&lt;&gt;"",F241*H241,"")</f>
        <v/>
      </c>
      <c r="K241" s="0" t="str">
        <f aca="false">IF(J241&lt;&gt;"",I241-J241,"")</f>
        <v/>
      </c>
      <c r="L241" s="0" t="str">
        <f aca="false">IF(AND(J241&lt;&gt;"",J241&lt;&gt;0),K241/J241,"")</f>
        <v/>
      </c>
      <c r="M241" s="0" t="str">
        <f aca="false">IF(AND(D241&lt;&gt;"",E241&lt;&gt;""),IF((DATEVALUE(E241)-DATEVALUE(D241))&gt;365,"Long Term","Short Term"),"")</f>
        <v/>
      </c>
    </row>
    <row r="242" customFormat="false" ht="15" hidden="false" customHeight="false" outlineLevel="0" collapsed="false">
      <c r="I242" s="0" t="str">
        <f aca="false">IF(F242&lt;&gt;"",F242*G242,"")</f>
        <v/>
      </c>
      <c r="J242" s="0" t="str">
        <f aca="false">IF(F242&lt;&gt;"",F242*H242,"")</f>
        <v/>
      </c>
      <c r="K242" s="0" t="str">
        <f aca="false">IF(J242&lt;&gt;"",I242-J242,"")</f>
        <v/>
      </c>
      <c r="L242" s="0" t="str">
        <f aca="false">IF(AND(J242&lt;&gt;"",J242&lt;&gt;0),K242/J242,"")</f>
        <v/>
      </c>
      <c r="M242" s="0" t="str">
        <f aca="false">IF(AND(D242&lt;&gt;"",E242&lt;&gt;""),IF((DATEVALUE(E242)-DATEVALUE(D242))&gt;365,"Long Term","Short Term"),"")</f>
        <v/>
      </c>
    </row>
    <row r="243" customFormat="false" ht="15" hidden="false" customHeight="false" outlineLevel="0" collapsed="false">
      <c r="I243" s="0" t="str">
        <f aca="false">IF(F243&lt;&gt;"",F243*G243,"")</f>
        <v/>
      </c>
      <c r="J243" s="0" t="str">
        <f aca="false">IF(F243&lt;&gt;"",F243*H243,"")</f>
        <v/>
      </c>
      <c r="K243" s="0" t="str">
        <f aca="false">IF(J243&lt;&gt;"",I243-J243,"")</f>
        <v/>
      </c>
      <c r="L243" s="0" t="str">
        <f aca="false">IF(AND(J243&lt;&gt;"",J243&lt;&gt;0),K243/J243,"")</f>
        <v/>
      </c>
      <c r="M243" s="0" t="str">
        <f aca="false">IF(AND(D243&lt;&gt;"",E243&lt;&gt;""),IF((DATEVALUE(E243)-DATEVALUE(D243))&gt;365,"Long Term","Short Term"),"")</f>
        <v/>
      </c>
    </row>
    <row r="244" customFormat="false" ht="15" hidden="false" customHeight="false" outlineLevel="0" collapsed="false">
      <c r="I244" s="0" t="str">
        <f aca="false">IF(F244&lt;&gt;"",F244*G244,"")</f>
        <v/>
      </c>
      <c r="J244" s="0" t="str">
        <f aca="false">IF(F244&lt;&gt;"",F244*H244,"")</f>
        <v/>
      </c>
      <c r="K244" s="0" t="str">
        <f aca="false">IF(J244&lt;&gt;"",I244-J244,"")</f>
        <v/>
      </c>
      <c r="L244" s="0" t="str">
        <f aca="false">IF(AND(J244&lt;&gt;"",J244&lt;&gt;0),K244/J244,"")</f>
        <v/>
      </c>
      <c r="M244" s="0" t="str">
        <f aca="false">IF(AND(D244&lt;&gt;"",E244&lt;&gt;""),IF((DATEVALUE(E244)-DATEVALUE(D244))&gt;365,"Long Term","Short Term"),"")</f>
        <v/>
      </c>
    </row>
    <row r="245" customFormat="false" ht="15" hidden="false" customHeight="false" outlineLevel="0" collapsed="false">
      <c r="I245" s="0" t="str">
        <f aca="false">IF(F245&lt;&gt;"",F245*G245,"")</f>
        <v/>
      </c>
      <c r="J245" s="0" t="str">
        <f aca="false">IF(F245&lt;&gt;"",F245*H245,"")</f>
        <v/>
      </c>
      <c r="K245" s="0" t="str">
        <f aca="false">IF(J245&lt;&gt;"",I245-J245,"")</f>
        <v/>
      </c>
      <c r="L245" s="0" t="str">
        <f aca="false">IF(AND(J245&lt;&gt;"",J245&lt;&gt;0),K245/J245,"")</f>
        <v/>
      </c>
      <c r="M245" s="0" t="str">
        <f aca="false">IF(AND(D245&lt;&gt;"",E245&lt;&gt;""),IF((DATEVALUE(E245)-DATEVALUE(D245))&gt;365,"Long Term","Short Term"),"")</f>
        <v/>
      </c>
    </row>
    <row r="246" customFormat="false" ht="15" hidden="false" customHeight="false" outlineLevel="0" collapsed="false">
      <c r="I246" s="0" t="str">
        <f aca="false">IF(F246&lt;&gt;"",F246*G246,"")</f>
        <v/>
      </c>
      <c r="J246" s="0" t="str">
        <f aca="false">IF(F246&lt;&gt;"",F246*H246,"")</f>
        <v/>
      </c>
      <c r="K246" s="0" t="str">
        <f aca="false">IF(J246&lt;&gt;"",I246-J246,"")</f>
        <v/>
      </c>
      <c r="L246" s="0" t="str">
        <f aca="false">IF(AND(J246&lt;&gt;"",J246&lt;&gt;0),K246/J246,"")</f>
        <v/>
      </c>
      <c r="M246" s="0" t="str">
        <f aca="false">IF(AND(D246&lt;&gt;"",E246&lt;&gt;""),IF((DATEVALUE(E246)-DATEVALUE(D246))&gt;365,"Long Term","Short Term"),"")</f>
        <v/>
      </c>
    </row>
    <row r="247" customFormat="false" ht="15" hidden="false" customHeight="false" outlineLevel="0" collapsed="false">
      <c r="I247" s="0" t="str">
        <f aca="false">IF(F247&lt;&gt;"",F247*G247,"")</f>
        <v/>
      </c>
      <c r="J247" s="0" t="str">
        <f aca="false">IF(F247&lt;&gt;"",F247*H247,"")</f>
        <v/>
      </c>
      <c r="K247" s="0" t="str">
        <f aca="false">IF(J247&lt;&gt;"",I247-J247,"")</f>
        <v/>
      </c>
      <c r="L247" s="0" t="str">
        <f aca="false">IF(AND(J247&lt;&gt;"",J247&lt;&gt;0),K247/J247,"")</f>
        <v/>
      </c>
      <c r="M247" s="0" t="str">
        <f aca="false">IF(AND(D247&lt;&gt;"",E247&lt;&gt;""),IF((DATEVALUE(E247)-DATEVALUE(D247))&gt;365,"Long Term","Short Term"),"")</f>
        <v/>
      </c>
    </row>
    <row r="248" customFormat="false" ht="15" hidden="false" customHeight="false" outlineLevel="0" collapsed="false">
      <c r="I248" s="0" t="str">
        <f aca="false">IF(F248&lt;&gt;"",F248*G248,"")</f>
        <v/>
      </c>
      <c r="J248" s="0" t="str">
        <f aca="false">IF(F248&lt;&gt;"",F248*H248,"")</f>
        <v/>
      </c>
      <c r="K248" s="0" t="str">
        <f aca="false">IF(J248&lt;&gt;"",I248-J248,"")</f>
        <v/>
      </c>
      <c r="L248" s="0" t="str">
        <f aca="false">IF(AND(J248&lt;&gt;"",J248&lt;&gt;0),K248/J248,"")</f>
        <v/>
      </c>
      <c r="M248" s="0" t="str">
        <f aca="false">IF(AND(D248&lt;&gt;"",E248&lt;&gt;""),IF((DATEVALUE(E248)-DATEVALUE(D248))&gt;365,"Long Term","Short Term"),"")</f>
        <v/>
      </c>
    </row>
    <row r="249" customFormat="false" ht="15" hidden="false" customHeight="false" outlineLevel="0" collapsed="false">
      <c r="I249" s="0" t="str">
        <f aca="false">IF(F249&lt;&gt;"",F249*G249,"")</f>
        <v/>
      </c>
      <c r="J249" s="0" t="str">
        <f aca="false">IF(F249&lt;&gt;"",F249*H249,"")</f>
        <v/>
      </c>
      <c r="K249" s="0" t="str">
        <f aca="false">IF(J249&lt;&gt;"",I249-J249,"")</f>
        <v/>
      </c>
      <c r="L249" s="0" t="str">
        <f aca="false">IF(AND(J249&lt;&gt;"",J249&lt;&gt;0),K249/J249,"")</f>
        <v/>
      </c>
      <c r="M249" s="0" t="str">
        <f aca="false">IF(AND(D249&lt;&gt;"",E249&lt;&gt;""),IF((DATEVALUE(E249)-DATEVALUE(D249))&gt;365,"Long Term","Short Term"),"")</f>
        <v/>
      </c>
    </row>
    <row r="250" customFormat="false" ht="15" hidden="false" customHeight="false" outlineLevel="0" collapsed="false">
      <c r="I250" s="0" t="str">
        <f aca="false">IF(F250&lt;&gt;"",F250*G250,"")</f>
        <v/>
      </c>
      <c r="J250" s="0" t="str">
        <f aca="false">IF(F250&lt;&gt;"",F250*H250,"")</f>
        <v/>
      </c>
      <c r="K250" s="0" t="str">
        <f aca="false">IF(J250&lt;&gt;"",I250-J250,"")</f>
        <v/>
      </c>
      <c r="L250" s="0" t="str">
        <f aca="false">IF(AND(J250&lt;&gt;"",J250&lt;&gt;0),K250/J250,"")</f>
        <v/>
      </c>
      <c r="M250" s="0" t="str">
        <f aca="false">IF(AND(D250&lt;&gt;"",E250&lt;&gt;""),IF((DATEVALUE(E250)-DATEVALUE(D250))&gt;365,"Long Term","Short Term"),"")</f>
        <v/>
      </c>
    </row>
    <row r="251" customFormat="false" ht="15" hidden="false" customHeight="false" outlineLevel="0" collapsed="false">
      <c r="I251" s="0" t="str">
        <f aca="false">IF(F251&lt;&gt;"",F251*G251,"")</f>
        <v/>
      </c>
      <c r="J251" s="0" t="str">
        <f aca="false">IF(F251&lt;&gt;"",F251*H251,"")</f>
        <v/>
      </c>
      <c r="K251" s="0" t="str">
        <f aca="false">IF(J251&lt;&gt;"",I251-J251,"")</f>
        <v/>
      </c>
      <c r="L251" s="0" t="str">
        <f aca="false">IF(AND(J251&lt;&gt;"",J251&lt;&gt;0),K251/J251,"")</f>
        <v/>
      </c>
      <c r="M251" s="0" t="str">
        <f aca="false">IF(AND(D251&lt;&gt;"",E251&lt;&gt;""),IF((DATEVALUE(E251)-DATEVALUE(D251))&gt;365,"Long Term","Short Term"),"")</f>
        <v/>
      </c>
    </row>
    <row r="252" customFormat="false" ht="15" hidden="false" customHeight="false" outlineLevel="0" collapsed="false">
      <c r="I252" s="0" t="str">
        <f aca="false">IF(F252&lt;&gt;"",F252*G252,"")</f>
        <v/>
      </c>
      <c r="J252" s="0" t="str">
        <f aca="false">IF(F252&lt;&gt;"",F252*H252,"")</f>
        <v/>
      </c>
      <c r="K252" s="0" t="str">
        <f aca="false">IF(J252&lt;&gt;"",I252-J252,"")</f>
        <v/>
      </c>
      <c r="L252" s="0" t="str">
        <f aca="false">IF(AND(J252&lt;&gt;"",J252&lt;&gt;0),K252/J252,"")</f>
        <v/>
      </c>
      <c r="M252" s="0" t="str">
        <f aca="false">IF(AND(D252&lt;&gt;"",E252&lt;&gt;""),IF((DATEVALUE(E252)-DATEVALUE(D252))&gt;365,"Long Term","Short Term"),"")</f>
        <v/>
      </c>
    </row>
    <row r="253" customFormat="false" ht="15" hidden="false" customHeight="false" outlineLevel="0" collapsed="false">
      <c r="I253" s="0" t="str">
        <f aca="false">IF(F253&lt;&gt;"",F253*G253,"")</f>
        <v/>
      </c>
      <c r="J253" s="0" t="str">
        <f aca="false">IF(F253&lt;&gt;"",F253*H253,"")</f>
        <v/>
      </c>
      <c r="K253" s="0" t="str">
        <f aca="false">IF(J253&lt;&gt;"",I253-J253,"")</f>
        <v/>
      </c>
      <c r="L253" s="0" t="str">
        <f aca="false">IF(AND(J253&lt;&gt;"",J253&lt;&gt;0),K253/J253,"")</f>
        <v/>
      </c>
      <c r="M253" s="0" t="str">
        <f aca="false">IF(AND(D253&lt;&gt;"",E253&lt;&gt;""),IF((DATEVALUE(E253)-DATEVALUE(D253))&gt;365,"Long Term","Short Term"),"")</f>
        <v/>
      </c>
    </row>
    <row r="254" customFormat="false" ht="15" hidden="false" customHeight="false" outlineLevel="0" collapsed="false">
      <c r="I254" s="0" t="str">
        <f aca="false">IF(F254&lt;&gt;"",F254*G254,"")</f>
        <v/>
      </c>
      <c r="J254" s="0" t="str">
        <f aca="false">IF(F254&lt;&gt;"",F254*H254,"")</f>
        <v/>
      </c>
      <c r="K254" s="0" t="str">
        <f aca="false">IF(J254&lt;&gt;"",I254-J254,"")</f>
        <v/>
      </c>
      <c r="L254" s="0" t="str">
        <f aca="false">IF(AND(J254&lt;&gt;"",J254&lt;&gt;0),K254/J254,"")</f>
        <v/>
      </c>
      <c r="M254" s="0" t="str">
        <f aca="false">IF(AND(D254&lt;&gt;"",E254&lt;&gt;""),IF((DATEVALUE(E254)-DATEVALUE(D254))&gt;365,"Long Term","Short Term"),"")</f>
        <v/>
      </c>
    </row>
    <row r="255" customFormat="false" ht="15" hidden="false" customHeight="false" outlineLevel="0" collapsed="false">
      <c r="I255" s="0" t="str">
        <f aca="false">IF(F255&lt;&gt;"",F255*G255,"")</f>
        <v/>
      </c>
      <c r="J255" s="0" t="str">
        <f aca="false">IF(F255&lt;&gt;"",F255*H255,"")</f>
        <v/>
      </c>
      <c r="K255" s="0" t="str">
        <f aca="false">IF(J255&lt;&gt;"",I255-J255,"")</f>
        <v/>
      </c>
      <c r="L255" s="0" t="str">
        <f aca="false">IF(AND(J255&lt;&gt;"",J255&lt;&gt;0),K255/J255,"")</f>
        <v/>
      </c>
      <c r="M255" s="0" t="str">
        <f aca="false">IF(AND(D255&lt;&gt;"",E255&lt;&gt;""),IF((DATEVALUE(E255)-DATEVALUE(D255))&gt;365,"Long Term","Short Term"),"")</f>
        <v/>
      </c>
    </row>
    <row r="256" customFormat="false" ht="15" hidden="false" customHeight="false" outlineLevel="0" collapsed="false">
      <c r="I256" s="0" t="str">
        <f aca="false">IF(F256&lt;&gt;"",F256*G256,"")</f>
        <v/>
      </c>
      <c r="J256" s="0" t="str">
        <f aca="false">IF(F256&lt;&gt;"",F256*H256,"")</f>
        <v/>
      </c>
      <c r="K256" s="0" t="str">
        <f aca="false">IF(J256&lt;&gt;"",I256-J256,"")</f>
        <v/>
      </c>
      <c r="L256" s="0" t="str">
        <f aca="false">IF(AND(J256&lt;&gt;"",J256&lt;&gt;0),K256/J256,"")</f>
        <v/>
      </c>
      <c r="M256" s="0" t="str">
        <f aca="false">IF(AND(D256&lt;&gt;"",E256&lt;&gt;""),IF((DATEVALUE(E256)-DATEVALUE(D256))&gt;365,"Long Term","Short Term"),"")</f>
        <v/>
      </c>
    </row>
    <row r="257" customFormat="false" ht="15" hidden="false" customHeight="false" outlineLevel="0" collapsed="false">
      <c r="I257" s="0" t="str">
        <f aca="false">IF(F257&lt;&gt;"",F257*G257,"")</f>
        <v/>
      </c>
      <c r="J257" s="0" t="str">
        <f aca="false">IF(F257&lt;&gt;"",F257*H257,"")</f>
        <v/>
      </c>
      <c r="K257" s="0" t="str">
        <f aca="false">IF(J257&lt;&gt;"",I257-J257,"")</f>
        <v/>
      </c>
      <c r="L257" s="0" t="str">
        <f aca="false">IF(AND(J257&lt;&gt;"",J257&lt;&gt;0),K257/J257,"")</f>
        <v/>
      </c>
      <c r="M257" s="0" t="str">
        <f aca="false">IF(AND(D257&lt;&gt;"",E257&lt;&gt;""),IF((DATEVALUE(E257)-DATEVALUE(D257))&gt;365,"Long Term","Short Term"),"")</f>
        <v/>
      </c>
    </row>
    <row r="258" customFormat="false" ht="15" hidden="false" customHeight="false" outlineLevel="0" collapsed="false">
      <c r="I258" s="0" t="str">
        <f aca="false">IF(F258&lt;&gt;"",F258*G258,"")</f>
        <v/>
      </c>
      <c r="J258" s="0" t="str">
        <f aca="false">IF(F258&lt;&gt;"",F258*H258,"")</f>
        <v/>
      </c>
      <c r="K258" s="0" t="str">
        <f aca="false">IF(J258&lt;&gt;"",I258-J258,"")</f>
        <v/>
      </c>
      <c r="L258" s="0" t="str">
        <f aca="false">IF(AND(J258&lt;&gt;"",J258&lt;&gt;0),K258/J258,"")</f>
        <v/>
      </c>
      <c r="M258" s="0" t="str">
        <f aca="false">IF(AND(D258&lt;&gt;"",E258&lt;&gt;""),IF((DATEVALUE(E258)-DATEVALUE(D258))&gt;365,"Long Term","Short Term"),"")</f>
        <v/>
      </c>
    </row>
    <row r="259" customFormat="false" ht="15" hidden="false" customHeight="false" outlineLevel="0" collapsed="false">
      <c r="I259" s="0" t="str">
        <f aca="false">IF(F259&lt;&gt;"",F259*G259,"")</f>
        <v/>
      </c>
      <c r="J259" s="0" t="str">
        <f aca="false">IF(F259&lt;&gt;"",F259*H259,"")</f>
        <v/>
      </c>
      <c r="K259" s="0" t="str">
        <f aca="false">IF(J259&lt;&gt;"",I259-J259,"")</f>
        <v/>
      </c>
      <c r="L259" s="0" t="str">
        <f aca="false">IF(AND(J259&lt;&gt;"",J259&lt;&gt;0),K259/J259,"")</f>
        <v/>
      </c>
      <c r="M259" s="0" t="str">
        <f aca="false">IF(AND(D259&lt;&gt;"",E259&lt;&gt;""),IF((DATEVALUE(E259)-DATEVALUE(D259))&gt;365,"Long Term","Short Term"),"")</f>
        <v/>
      </c>
    </row>
    <row r="260" customFormat="false" ht="15" hidden="false" customHeight="false" outlineLevel="0" collapsed="false">
      <c r="I260" s="0" t="str">
        <f aca="false">IF(F260&lt;&gt;"",F260*G260,"")</f>
        <v/>
      </c>
      <c r="J260" s="0" t="str">
        <f aca="false">IF(F260&lt;&gt;"",F260*H260,"")</f>
        <v/>
      </c>
      <c r="K260" s="0" t="str">
        <f aca="false">IF(J260&lt;&gt;"",I260-J260,"")</f>
        <v/>
      </c>
      <c r="L260" s="0" t="str">
        <f aca="false">IF(AND(J260&lt;&gt;"",J260&lt;&gt;0),K260/J260,"")</f>
        <v/>
      </c>
      <c r="M260" s="0" t="str">
        <f aca="false">IF(AND(D260&lt;&gt;"",E260&lt;&gt;""),IF((DATEVALUE(E260)-DATEVALUE(D260))&gt;365,"Long Term","Short Term"),"")</f>
        <v/>
      </c>
    </row>
    <row r="261" customFormat="false" ht="15" hidden="false" customHeight="false" outlineLevel="0" collapsed="false">
      <c r="I261" s="0" t="str">
        <f aca="false">IF(F261&lt;&gt;"",F261*G261,"")</f>
        <v/>
      </c>
      <c r="J261" s="0" t="str">
        <f aca="false">IF(F261&lt;&gt;"",F261*H261,"")</f>
        <v/>
      </c>
      <c r="K261" s="0" t="str">
        <f aca="false">IF(J261&lt;&gt;"",I261-J261,"")</f>
        <v/>
      </c>
      <c r="L261" s="0" t="str">
        <f aca="false">IF(AND(J261&lt;&gt;"",J261&lt;&gt;0),K261/J261,"")</f>
        <v/>
      </c>
      <c r="M261" s="0" t="str">
        <f aca="false">IF(AND(D261&lt;&gt;"",E261&lt;&gt;""),IF((DATEVALUE(E261)-DATEVALUE(D261))&gt;365,"Long Term","Short Term"),"")</f>
        <v/>
      </c>
    </row>
    <row r="262" customFormat="false" ht="15" hidden="false" customHeight="false" outlineLevel="0" collapsed="false">
      <c r="I262" s="0" t="str">
        <f aca="false">IF(F262&lt;&gt;"",F262*G262,"")</f>
        <v/>
      </c>
      <c r="J262" s="0" t="str">
        <f aca="false">IF(F262&lt;&gt;"",F262*H262,"")</f>
        <v/>
      </c>
      <c r="K262" s="0" t="str">
        <f aca="false">IF(J262&lt;&gt;"",I262-J262,"")</f>
        <v/>
      </c>
      <c r="L262" s="0" t="str">
        <f aca="false">IF(AND(J262&lt;&gt;"",J262&lt;&gt;0),K262/J262,"")</f>
        <v/>
      </c>
      <c r="M262" s="0" t="str">
        <f aca="false">IF(AND(D262&lt;&gt;"",E262&lt;&gt;""),IF((DATEVALUE(E262)-DATEVALUE(D262))&gt;365,"Long Term","Short Term"),"")</f>
        <v/>
      </c>
    </row>
    <row r="263" customFormat="false" ht="15" hidden="false" customHeight="false" outlineLevel="0" collapsed="false">
      <c r="I263" s="0" t="str">
        <f aca="false">IF(F263&lt;&gt;"",F263*G263,"")</f>
        <v/>
      </c>
      <c r="J263" s="0" t="str">
        <f aca="false">IF(F263&lt;&gt;"",F263*H263,"")</f>
        <v/>
      </c>
      <c r="K263" s="0" t="str">
        <f aca="false">IF(J263&lt;&gt;"",I263-J263,"")</f>
        <v/>
      </c>
      <c r="L263" s="0" t="str">
        <f aca="false">IF(AND(J263&lt;&gt;"",J263&lt;&gt;0),K263/J263,"")</f>
        <v/>
      </c>
      <c r="M263" s="0" t="str">
        <f aca="false">IF(AND(D263&lt;&gt;"",E263&lt;&gt;""),IF((DATEVALUE(E263)-DATEVALUE(D263))&gt;365,"Long Term","Short Term"),"")</f>
        <v/>
      </c>
    </row>
    <row r="264" customFormat="false" ht="15" hidden="false" customHeight="false" outlineLevel="0" collapsed="false">
      <c r="I264" s="0" t="str">
        <f aca="false">IF(F264&lt;&gt;"",F264*G264,"")</f>
        <v/>
      </c>
      <c r="J264" s="0" t="str">
        <f aca="false">IF(F264&lt;&gt;"",F264*H264,"")</f>
        <v/>
      </c>
      <c r="K264" s="0" t="str">
        <f aca="false">IF(J264&lt;&gt;"",I264-J264,"")</f>
        <v/>
      </c>
      <c r="L264" s="0" t="str">
        <f aca="false">IF(AND(J264&lt;&gt;"",J264&lt;&gt;0),K264/J264,"")</f>
        <v/>
      </c>
      <c r="M264" s="0" t="str">
        <f aca="false">IF(AND(D264&lt;&gt;"",E264&lt;&gt;""),IF((DATEVALUE(E264)-DATEVALUE(D264))&gt;365,"Long Term","Short Term"),"")</f>
        <v/>
      </c>
    </row>
    <row r="265" customFormat="false" ht="15" hidden="false" customHeight="false" outlineLevel="0" collapsed="false">
      <c r="I265" s="0" t="str">
        <f aca="false">IF(F265&lt;&gt;"",F265*G265,"")</f>
        <v/>
      </c>
      <c r="J265" s="0" t="str">
        <f aca="false">IF(F265&lt;&gt;"",F265*H265,"")</f>
        <v/>
      </c>
      <c r="K265" s="0" t="str">
        <f aca="false">IF(J265&lt;&gt;"",I265-J265,"")</f>
        <v/>
      </c>
      <c r="L265" s="0" t="str">
        <f aca="false">IF(AND(J265&lt;&gt;"",J265&lt;&gt;0),K265/J265,"")</f>
        <v/>
      </c>
      <c r="M265" s="0" t="str">
        <f aca="false">IF(AND(D265&lt;&gt;"",E265&lt;&gt;""),IF((DATEVALUE(E265)-DATEVALUE(D265))&gt;365,"Long Term","Short Term"),"")</f>
        <v/>
      </c>
    </row>
    <row r="266" customFormat="false" ht="15" hidden="false" customHeight="false" outlineLevel="0" collapsed="false">
      <c r="I266" s="0" t="str">
        <f aca="false">IF(F266&lt;&gt;"",F266*G266,"")</f>
        <v/>
      </c>
      <c r="J266" s="0" t="str">
        <f aca="false">IF(F266&lt;&gt;"",F266*H266,"")</f>
        <v/>
      </c>
      <c r="K266" s="0" t="str">
        <f aca="false">IF(J266&lt;&gt;"",I266-J266,"")</f>
        <v/>
      </c>
      <c r="L266" s="0" t="str">
        <f aca="false">IF(AND(J266&lt;&gt;"",J266&lt;&gt;0),K266/J266,"")</f>
        <v/>
      </c>
      <c r="M266" s="0" t="str">
        <f aca="false">IF(AND(D266&lt;&gt;"",E266&lt;&gt;""),IF((DATEVALUE(E266)-DATEVALUE(D266))&gt;365,"Long Term","Short Term"),"")</f>
        <v/>
      </c>
    </row>
    <row r="267" customFormat="false" ht="15" hidden="false" customHeight="false" outlineLevel="0" collapsed="false">
      <c r="I267" s="0" t="str">
        <f aca="false">IF(F267&lt;&gt;"",F267*G267,"")</f>
        <v/>
      </c>
      <c r="J267" s="0" t="str">
        <f aca="false">IF(F267&lt;&gt;"",F267*H267,"")</f>
        <v/>
      </c>
      <c r="K267" s="0" t="str">
        <f aca="false">IF(J267&lt;&gt;"",I267-J267,"")</f>
        <v/>
      </c>
      <c r="L267" s="0" t="str">
        <f aca="false">IF(AND(J267&lt;&gt;"",J267&lt;&gt;0),K267/J267,"")</f>
        <v/>
      </c>
      <c r="M267" s="0" t="str">
        <f aca="false">IF(AND(D267&lt;&gt;"",E267&lt;&gt;""),IF((DATEVALUE(E267)-DATEVALUE(D267))&gt;365,"Long Term","Short Term"),"")</f>
        <v/>
      </c>
    </row>
    <row r="268" customFormat="false" ht="15" hidden="false" customHeight="false" outlineLevel="0" collapsed="false">
      <c r="I268" s="0" t="str">
        <f aca="false">IF(F268&lt;&gt;"",F268*G268,"")</f>
        <v/>
      </c>
      <c r="J268" s="0" t="str">
        <f aca="false">IF(F268&lt;&gt;"",F268*H268,"")</f>
        <v/>
      </c>
      <c r="K268" s="0" t="str">
        <f aca="false">IF(J268&lt;&gt;"",I268-J268,"")</f>
        <v/>
      </c>
      <c r="L268" s="0" t="str">
        <f aca="false">IF(AND(J268&lt;&gt;"",J268&lt;&gt;0),K268/J268,"")</f>
        <v/>
      </c>
      <c r="M268" s="0" t="str">
        <f aca="false">IF(AND(D268&lt;&gt;"",E268&lt;&gt;""),IF((DATEVALUE(E268)-DATEVALUE(D268))&gt;365,"Long Term","Short Term"),"")</f>
        <v/>
      </c>
    </row>
    <row r="269" customFormat="false" ht="15" hidden="false" customHeight="false" outlineLevel="0" collapsed="false">
      <c r="I269" s="0" t="str">
        <f aca="false">IF(F269&lt;&gt;"",F269*G269,"")</f>
        <v/>
      </c>
      <c r="J269" s="0" t="str">
        <f aca="false">IF(F269&lt;&gt;"",F269*H269,"")</f>
        <v/>
      </c>
      <c r="K269" s="0" t="str">
        <f aca="false">IF(J269&lt;&gt;"",I269-J269,"")</f>
        <v/>
      </c>
      <c r="L269" s="0" t="str">
        <f aca="false">IF(AND(J269&lt;&gt;"",J269&lt;&gt;0),K269/J269,"")</f>
        <v/>
      </c>
      <c r="M269" s="0" t="str">
        <f aca="false">IF(AND(D269&lt;&gt;"",E269&lt;&gt;""),IF((DATEVALUE(E269)-DATEVALUE(D269))&gt;365,"Long Term","Short Term"),"")</f>
        <v/>
      </c>
    </row>
    <row r="270" customFormat="false" ht="15" hidden="false" customHeight="false" outlineLevel="0" collapsed="false">
      <c r="I270" s="0" t="str">
        <f aca="false">IF(F270&lt;&gt;"",F270*G270,"")</f>
        <v/>
      </c>
      <c r="J270" s="0" t="str">
        <f aca="false">IF(F270&lt;&gt;"",F270*H270,"")</f>
        <v/>
      </c>
      <c r="K270" s="0" t="str">
        <f aca="false">IF(J270&lt;&gt;"",I270-J270,"")</f>
        <v/>
      </c>
      <c r="L270" s="0" t="str">
        <f aca="false">IF(AND(J270&lt;&gt;"",J270&lt;&gt;0),K270/J270,"")</f>
        <v/>
      </c>
      <c r="M270" s="0" t="str">
        <f aca="false">IF(AND(D270&lt;&gt;"",E270&lt;&gt;""),IF((DATEVALUE(E270)-DATEVALUE(D270))&gt;365,"Long Term","Short Term"),"")</f>
        <v/>
      </c>
    </row>
    <row r="271" customFormat="false" ht="15" hidden="false" customHeight="false" outlineLevel="0" collapsed="false">
      <c r="I271" s="0" t="str">
        <f aca="false">IF(F271&lt;&gt;"",F271*G271,"")</f>
        <v/>
      </c>
      <c r="J271" s="0" t="str">
        <f aca="false">IF(F271&lt;&gt;"",F271*H271,"")</f>
        <v/>
      </c>
      <c r="K271" s="0" t="str">
        <f aca="false">IF(J271&lt;&gt;"",I271-J271,"")</f>
        <v/>
      </c>
      <c r="L271" s="0" t="str">
        <f aca="false">IF(AND(J271&lt;&gt;"",J271&lt;&gt;0),K271/J271,"")</f>
        <v/>
      </c>
      <c r="M271" s="0" t="str">
        <f aca="false">IF(AND(D271&lt;&gt;"",E271&lt;&gt;""),IF((DATEVALUE(E271)-DATEVALUE(D271))&gt;365,"Long Term","Short Term"),"")</f>
        <v/>
      </c>
    </row>
    <row r="272" customFormat="false" ht="15" hidden="false" customHeight="false" outlineLevel="0" collapsed="false">
      <c r="I272" s="0" t="str">
        <f aca="false">IF(F272&lt;&gt;"",F272*G272,"")</f>
        <v/>
      </c>
      <c r="J272" s="0" t="str">
        <f aca="false">IF(F272&lt;&gt;"",F272*H272,"")</f>
        <v/>
      </c>
      <c r="K272" s="0" t="str">
        <f aca="false">IF(J272&lt;&gt;"",I272-J272,"")</f>
        <v/>
      </c>
      <c r="L272" s="0" t="str">
        <f aca="false">IF(AND(J272&lt;&gt;"",J272&lt;&gt;0),K272/J272,"")</f>
        <v/>
      </c>
      <c r="M272" s="0" t="str">
        <f aca="false">IF(AND(D272&lt;&gt;"",E272&lt;&gt;""),IF((DATEVALUE(E272)-DATEVALUE(D272))&gt;365,"Long Term","Short Term"),"")</f>
        <v/>
      </c>
    </row>
    <row r="273" customFormat="false" ht="15" hidden="false" customHeight="false" outlineLevel="0" collapsed="false">
      <c r="I273" s="0" t="str">
        <f aca="false">IF(F273&lt;&gt;"",F273*G273,"")</f>
        <v/>
      </c>
      <c r="J273" s="0" t="str">
        <f aca="false">IF(F273&lt;&gt;"",F273*H273,"")</f>
        <v/>
      </c>
      <c r="K273" s="0" t="str">
        <f aca="false">IF(J273&lt;&gt;"",I273-J273,"")</f>
        <v/>
      </c>
      <c r="L273" s="0" t="str">
        <f aca="false">IF(AND(J273&lt;&gt;"",J273&lt;&gt;0),K273/J273,"")</f>
        <v/>
      </c>
      <c r="M273" s="0" t="str">
        <f aca="false">IF(AND(D273&lt;&gt;"",E273&lt;&gt;""),IF((DATEVALUE(E273)-DATEVALUE(D273))&gt;365,"Long Term","Short Term"),"")</f>
        <v/>
      </c>
    </row>
    <row r="274" customFormat="false" ht="15" hidden="false" customHeight="false" outlineLevel="0" collapsed="false">
      <c r="I274" s="0" t="str">
        <f aca="false">IF(F274&lt;&gt;"",F274*G274,"")</f>
        <v/>
      </c>
      <c r="J274" s="0" t="str">
        <f aca="false">IF(F274&lt;&gt;"",F274*H274,"")</f>
        <v/>
      </c>
      <c r="K274" s="0" t="str">
        <f aca="false">IF(J274&lt;&gt;"",I274-J274,"")</f>
        <v/>
      </c>
      <c r="L274" s="0" t="str">
        <f aca="false">IF(AND(J274&lt;&gt;"",J274&lt;&gt;0),K274/J274,"")</f>
        <v/>
      </c>
      <c r="M274" s="0" t="str">
        <f aca="false">IF(AND(D274&lt;&gt;"",E274&lt;&gt;""),IF((DATEVALUE(E274)-DATEVALUE(D274))&gt;365,"Long Term","Short Term"),"")</f>
        <v/>
      </c>
    </row>
    <row r="275" customFormat="false" ht="15" hidden="false" customHeight="false" outlineLevel="0" collapsed="false">
      <c r="I275" s="0" t="str">
        <f aca="false">IF(F275&lt;&gt;"",F275*G275,"")</f>
        <v/>
      </c>
      <c r="J275" s="0" t="str">
        <f aca="false">IF(F275&lt;&gt;"",F275*H275,"")</f>
        <v/>
      </c>
      <c r="K275" s="0" t="str">
        <f aca="false">IF(J275&lt;&gt;"",I275-J275,"")</f>
        <v/>
      </c>
      <c r="L275" s="0" t="str">
        <f aca="false">IF(AND(J275&lt;&gt;"",J275&lt;&gt;0),K275/J275,"")</f>
        <v/>
      </c>
      <c r="M275" s="0" t="str">
        <f aca="false">IF(AND(D275&lt;&gt;"",E275&lt;&gt;""),IF((DATEVALUE(E275)-DATEVALUE(D275))&gt;365,"Long Term","Short Term"),"")</f>
        <v/>
      </c>
    </row>
    <row r="276" customFormat="false" ht="15" hidden="false" customHeight="false" outlineLevel="0" collapsed="false">
      <c r="I276" s="0" t="str">
        <f aca="false">IF(F276&lt;&gt;"",F276*G276,"")</f>
        <v/>
      </c>
      <c r="J276" s="0" t="str">
        <f aca="false">IF(F276&lt;&gt;"",F276*H276,"")</f>
        <v/>
      </c>
      <c r="K276" s="0" t="str">
        <f aca="false">IF(J276&lt;&gt;"",I276-J276,"")</f>
        <v/>
      </c>
      <c r="L276" s="0" t="str">
        <f aca="false">IF(AND(J276&lt;&gt;"",J276&lt;&gt;0),K276/J276,"")</f>
        <v/>
      </c>
      <c r="M276" s="0" t="str">
        <f aca="false">IF(AND(D276&lt;&gt;"",E276&lt;&gt;""),IF((DATEVALUE(E276)-DATEVALUE(D276))&gt;365,"Long Term","Short Term"),"")</f>
        <v/>
      </c>
    </row>
    <row r="277" customFormat="false" ht="15" hidden="false" customHeight="false" outlineLevel="0" collapsed="false">
      <c r="I277" s="0" t="str">
        <f aca="false">IF(F277&lt;&gt;"",F277*G277,"")</f>
        <v/>
      </c>
      <c r="J277" s="0" t="str">
        <f aca="false">IF(F277&lt;&gt;"",F277*H277,"")</f>
        <v/>
      </c>
      <c r="K277" s="0" t="str">
        <f aca="false">IF(J277&lt;&gt;"",I277-J277,"")</f>
        <v/>
      </c>
      <c r="L277" s="0" t="str">
        <f aca="false">IF(AND(J277&lt;&gt;"",J277&lt;&gt;0),K277/J277,"")</f>
        <v/>
      </c>
      <c r="M277" s="0" t="str">
        <f aca="false">IF(AND(D277&lt;&gt;"",E277&lt;&gt;""),IF((DATEVALUE(E277)-DATEVALUE(D277))&gt;365,"Long Term","Short Term"),"")</f>
        <v/>
      </c>
    </row>
    <row r="278" customFormat="false" ht="15" hidden="false" customHeight="false" outlineLevel="0" collapsed="false">
      <c r="I278" s="0" t="str">
        <f aca="false">IF(F278&lt;&gt;"",F278*G278,"")</f>
        <v/>
      </c>
      <c r="J278" s="0" t="str">
        <f aca="false">IF(F278&lt;&gt;"",F278*H278,"")</f>
        <v/>
      </c>
      <c r="K278" s="0" t="str">
        <f aca="false">IF(J278&lt;&gt;"",I278-J278,"")</f>
        <v/>
      </c>
      <c r="L278" s="0" t="str">
        <f aca="false">IF(AND(J278&lt;&gt;"",J278&lt;&gt;0),K278/J278,"")</f>
        <v/>
      </c>
      <c r="M278" s="0" t="str">
        <f aca="false">IF(AND(D278&lt;&gt;"",E278&lt;&gt;""),IF((DATEVALUE(E278)-DATEVALUE(D278))&gt;365,"Long Term","Short Term"),"")</f>
        <v/>
      </c>
    </row>
    <row r="279" customFormat="false" ht="15" hidden="false" customHeight="false" outlineLevel="0" collapsed="false">
      <c r="I279" s="0" t="str">
        <f aca="false">IF(F279&lt;&gt;"",F279*G279,"")</f>
        <v/>
      </c>
      <c r="J279" s="0" t="str">
        <f aca="false">IF(F279&lt;&gt;"",F279*H279,"")</f>
        <v/>
      </c>
      <c r="K279" s="0" t="str">
        <f aca="false">IF(J279&lt;&gt;"",I279-J279,"")</f>
        <v/>
      </c>
      <c r="L279" s="0" t="str">
        <f aca="false">IF(AND(J279&lt;&gt;"",J279&lt;&gt;0),K279/J279,"")</f>
        <v/>
      </c>
      <c r="M279" s="0" t="str">
        <f aca="false">IF(AND(D279&lt;&gt;"",E279&lt;&gt;""),IF((DATEVALUE(E279)-DATEVALUE(D279))&gt;365,"Long Term","Short Term"),"")</f>
        <v/>
      </c>
    </row>
    <row r="280" customFormat="false" ht="15" hidden="false" customHeight="false" outlineLevel="0" collapsed="false">
      <c r="I280" s="0" t="str">
        <f aca="false">IF(F280&lt;&gt;"",F280*G280,"")</f>
        <v/>
      </c>
      <c r="J280" s="0" t="str">
        <f aca="false">IF(F280&lt;&gt;"",F280*H280,"")</f>
        <v/>
      </c>
      <c r="K280" s="0" t="str">
        <f aca="false">IF(J280&lt;&gt;"",I280-J280,"")</f>
        <v/>
      </c>
      <c r="L280" s="0" t="str">
        <f aca="false">IF(AND(J280&lt;&gt;"",J280&lt;&gt;0),K280/J280,"")</f>
        <v/>
      </c>
      <c r="M280" s="0" t="str">
        <f aca="false">IF(AND(D280&lt;&gt;"",E280&lt;&gt;""),IF((DATEVALUE(E280)-DATEVALUE(D280))&gt;365,"Long Term","Short Term"),"")</f>
        <v/>
      </c>
    </row>
    <row r="281" customFormat="false" ht="15" hidden="false" customHeight="false" outlineLevel="0" collapsed="false">
      <c r="I281" s="0" t="str">
        <f aca="false">IF(F281&lt;&gt;"",F281*G281,"")</f>
        <v/>
      </c>
      <c r="J281" s="0" t="str">
        <f aca="false">IF(F281&lt;&gt;"",F281*H281,"")</f>
        <v/>
      </c>
      <c r="K281" s="0" t="str">
        <f aca="false">IF(J281&lt;&gt;"",I281-J281,"")</f>
        <v/>
      </c>
      <c r="L281" s="0" t="str">
        <f aca="false">IF(AND(J281&lt;&gt;"",J281&lt;&gt;0),K281/J281,"")</f>
        <v/>
      </c>
      <c r="M281" s="0" t="str">
        <f aca="false">IF(AND(D281&lt;&gt;"",E281&lt;&gt;""),IF((DATEVALUE(E281)-DATEVALUE(D281))&gt;365,"Long Term","Short Term"),"")</f>
        <v/>
      </c>
    </row>
    <row r="282" customFormat="false" ht="15" hidden="false" customHeight="false" outlineLevel="0" collapsed="false">
      <c r="I282" s="0" t="str">
        <f aca="false">IF(F282&lt;&gt;"",F282*G282,"")</f>
        <v/>
      </c>
      <c r="J282" s="0" t="str">
        <f aca="false">IF(F282&lt;&gt;"",F282*H282,"")</f>
        <v/>
      </c>
      <c r="K282" s="0" t="str">
        <f aca="false">IF(J282&lt;&gt;"",I282-J282,"")</f>
        <v/>
      </c>
      <c r="L282" s="0" t="str">
        <f aca="false">IF(AND(J282&lt;&gt;"",J282&lt;&gt;0),K282/J282,"")</f>
        <v/>
      </c>
      <c r="M282" s="0" t="str">
        <f aca="false">IF(AND(D282&lt;&gt;"",E282&lt;&gt;""),IF((DATEVALUE(E282)-DATEVALUE(D282))&gt;365,"Long Term","Short Term"),"")</f>
        <v/>
      </c>
    </row>
    <row r="283" customFormat="false" ht="15" hidden="false" customHeight="false" outlineLevel="0" collapsed="false">
      <c r="I283" s="0" t="str">
        <f aca="false">IF(F283&lt;&gt;"",F283*G283,"")</f>
        <v/>
      </c>
      <c r="J283" s="0" t="str">
        <f aca="false">IF(F283&lt;&gt;"",F283*H283,"")</f>
        <v/>
      </c>
      <c r="K283" s="0" t="str">
        <f aca="false">IF(J283&lt;&gt;"",I283-J283,"")</f>
        <v/>
      </c>
      <c r="L283" s="0" t="str">
        <f aca="false">IF(AND(J283&lt;&gt;"",J283&lt;&gt;0),K283/J283,"")</f>
        <v/>
      </c>
      <c r="M283" s="0" t="str">
        <f aca="false">IF(AND(D283&lt;&gt;"",E283&lt;&gt;""),IF((DATEVALUE(E283)-DATEVALUE(D283))&gt;365,"Long Term","Short Term"),"")</f>
        <v/>
      </c>
    </row>
    <row r="284" customFormat="false" ht="15" hidden="false" customHeight="false" outlineLevel="0" collapsed="false">
      <c r="I284" s="0" t="str">
        <f aca="false">IF(F284&lt;&gt;"",F284*G284,"")</f>
        <v/>
      </c>
      <c r="J284" s="0" t="str">
        <f aca="false">IF(F284&lt;&gt;"",F284*H284,"")</f>
        <v/>
      </c>
      <c r="K284" s="0" t="str">
        <f aca="false">IF(J284&lt;&gt;"",I284-J284,"")</f>
        <v/>
      </c>
      <c r="L284" s="0" t="str">
        <f aca="false">IF(AND(J284&lt;&gt;"",J284&lt;&gt;0),K284/J284,"")</f>
        <v/>
      </c>
      <c r="M284" s="0" t="str">
        <f aca="false">IF(AND(D284&lt;&gt;"",E284&lt;&gt;""),IF((DATEVALUE(E284)-DATEVALUE(D284))&gt;365,"Long Term","Short Term"),"")</f>
        <v/>
      </c>
    </row>
    <row r="285" customFormat="false" ht="15" hidden="false" customHeight="false" outlineLevel="0" collapsed="false">
      <c r="I285" s="0" t="str">
        <f aca="false">IF(F285&lt;&gt;"",F285*G285,"")</f>
        <v/>
      </c>
      <c r="J285" s="0" t="str">
        <f aca="false">IF(F285&lt;&gt;"",F285*H285,"")</f>
        <v/>
      </c>
      <c r="K285" s="0" t="str">
        <f aca="false">IF(J285&lt;&gt;"",I285-J285,"")</f>
        <v/>
      </c>
      <c r="L285" s="0" t="str">
        <f aca="false">IF(AND(J285&lt;&gt;"",J285&lt;&gt;0),K285/J285,"")</f>
        <v/>
      </c>
      <c r="M285" s="0" t="str">
        <f aca="false">IF(AND(D285&lt;&gt;"",E285&lt;&gt;""),IF((DATEVALUE(E285)-DATEVALUE(D285))&gt;365,"Long Term","Short Term"),"")</f>
        <v/>
      </c>
    </row>
    <row r="286" customFormat="false" ht="15" hidden="false" customHeight="false" outlineLevel="0" collapsed="false">
      <c r="I286" s="0" t="str">
        <f aca="false">IF(F286&lt;&gt;"",F286*G286,"")</f>
        <v/>
      </c>
      <c r="J286" s="0" t="str">
        <f aca="false">IF(F286&lt;&gt;"",F286*H286,"")</f>
        <v/>
      </c>
      <c r="K286" s="0" t="str">
        <f aca="false">IF(J286&lt;&gt;"",I286-J286,"")</f>
        <v/>
      </c>
      <c r="L286" s="0" t="str">
        <f aca="false">IF(AND(J286&lt;&gt;"",J286&lt;&gt;0),K286/J286,"")</f>
        <v/>
      </c>
      <c r="M286" s="0" t="str">
        <f aca="false">IF(AND(D286&lt;&gt;"",E286&lt;&gt;""),IF((DATEVALUE(E286)-DATEVALUE(D286))&gt;365,"Long Term","Short Term"),"")</f>
        <v/>
      </c>
    </row>
    <row r="287" customFormat="false" ht="15" hidden="false" customHeight="false" outlineLevel="0" collapsed="false">
      <c r="I287" s="0" t="str">
        <f aca="false">IF(F287&lt;&gt;"",F287*G287,"")</f>
        <v/>
      </c>
      <c r="J287" s="0" t="str">
        <f aca="false">IF(F287&lt;&gt;"",F287*H287,"")</f>
        <v/>
      </c>
      <c r="K287" s="0" t="str">
        <f aca="false">IF(J287&lt;&gt;"",I287-J287,"")</f>
        <v/>
      </c>
      <c r="L287" s="0" t="str">
        <f aca="false">IF(AND(J287&lt;&gt;"",J287&lt;&gt;0),K287/J287,"")</f>
        <v/>
      </c>
      <c r="M287" s="0" t="str">
        <f aca="false">IF(AND(D287&lt;&gt;"",E287&lt;&gt;""),IF((DATEVALUE(E287)-DATEVALUE(D287))&gt;365,"Long Term","Short Term"),"")</f>
        <v/>
      </c>
    </row>
    <row r="288" customFormat="false" ht="15" hidden="false" customHeight="false" outlineLevel="0" collapsed="false">
      <c r="I288" s="0" t="str">
        <f aca="false">IF(F288&lt;&gt;"",F288*G288,"")</f>
        <v/>
      </c>
      <c r="J288" s="0" t="str">
        <f aca="false">IF(F288&lt;&gt;"",F288*H288,"")</f>
        <v/>
      </c>
      <c r="K288" s="0" t="str">
        <f aca="false">IF(J288&lt;&gt;"",I288-J288,"")</f>
        <v/>
      </c>
      <c r="L288" s="0" t="str">
        <f aca="false">IF(AND(J288&lt;&gt;"",J288&lt;&gt;0),K288/J288,"")</f>
        <v/>
      </c>
      <c r="M288" s="0" t="str">
        <f aca="false">IF(AND(D288&lt;&gt;"",E288&lt;&gt;""),IF((DATEVALUE(E288)-DATEVALUE(D288))&gt;365,"Long Term","Short Term"),"")</f>
        <v/>
      </c>
    </row>
    <row r="289" customFormat="false" ht="15" hidden="false" customHeight="false" outlineLevel="0" collapsed="false">
      <c r="I289" s="0" t="str">
        <f aca="false">IF(F289&lt;&gt;"",F289*G289,"")</f>
        <v/>
      </c>
      <c r="J289" s="0" t="str">
        <f aca="false">IF(F289&lt;&gt;"",F289*H289,"")</f>
        <v/>
      </c>
      <c r="K289" s="0" t="str">
        <f aca="false">IF(J289&lt;&gt;"",I289-J289,"")</f>
        <v/>
      </c>
      <c r="L289" s="0" t="str">
        <f aca="false">IF(AND(J289&lt;&gt;"",J289&lt;&gt;0),K289/J289,"")</f>
        <v/>
      </c>
      <c r="M289" s="0" t="str">
        <f aca="false">IF(AND(D289&lt;&gt;"",E289&lt;&gt;""),IF((DATEVALUE(E289)-DATEVALUE(D289))&gt;365,"Long Term","Short Term"),"")</f>
        <v/>
      </c>
    </row>
    <row r="290" customFormat="false" ht="15" hidden="false" customHeight="false" outlineLevel="0" collapsed="false">
      <c r="I290" s="0" t="str">
        <f aca="false">IF(F290&lt;&gt;"",F290*G290,"")</f>
        <v/>
      </c>
      <c r="J290" s="0" t="str">
        <f aca="false">IF(F290&lt;&gt;"",F290*H290,"")</f>
        <v/>
      </c>
      <c r="K290" s="0" t="str">
        <f aca="false">IF(J290&lt;&gt;"",I290-J290,"")</f>
        <v/>
      </c>
      <c r="L290" s="0" t="str">
        <f aca="false">IF(AND(J290&lt;&gt;"",J290&lt;&gt;0),K290/J290,"")</f>
        <v/>
      </c>
      <c r="M290" s="0" t="str">
        <f aca="false">IF(AND(D290&lt;&gt;"",E290&lt;&gt;""),IF((DATEVALUE(E290)-DATEVALUE(D290))&gt;365,"Long Term","Short Term"),"")</f>
        <v/>
      </c>
    </row>
    <row r="291" customFormat="false" ht="15" hidden="false" customHeight="false" outlineLevel="0" collapsed="false">
      <c r="I291" s="0" t="str">
        <f aca="false">IF(F291&lt;&gt;"",F291*G291,"")</f>
        <v/>
      </c>
      <c r="J291" s="0" t="str">
        <f aca="false">IF(F291&lt;&gt;"",F291*H291,"")</f>
        <v/>
      </c>
      <c r="K291" s="0" t="str">
        <f aca="false">IF(J291&lt;&gt;"",I291-J291,"")</f>
        <v/>
      </c>
      <c r="L291" s="0" t="str">
        <f aca="false">IF(AND(J291&lt;&gt;"",J291&lt;&gt;0),K291/J291,"")</f>
        <v/>
      </c>
      <c r="M291" s="0" t="str">
        <f aca="false">IF(AND(D291&lt;&gt;"",E291&lt;&gt;""),IF((DATEVALUE(E291)-DATEVALUE(D291))&gt;365,"Long Term","Short Term"),"")</f>
        <v/>
      </c>
    </row>
    <row r="292" customFormat="false" ht="15" hidden="false" customHeight="false" outlineLevel="0" collapsed="false">
      <c r="I292" s="0" t="str">
        <f aca="false">IF(F292&lt;&gt;"",F292*G292,"")</f>
        <v/>
      </c>
      <c r="J292" s="0" t="str">
        <f aca="false">IF(F292&lt;&gt;"",F292*H292,"")</f>
        <v/>
      </c>
      <c r="K292" s="0" t="str">
        <f aca="false">IF(J292&lt;&gt;"",I292-J292,"")</f>
        <v/>
      </c>
      <c r="L292" s="0" t="str">
        <f aca="false">IF(AND(J292&lt;&gt;"",J292&lt;&gt;0),K292/J292,"")</f>
        <v/>
      </c>
      <c r="M292" s="0" t="str">
        <f aca="false">IF(AND(D292&lt;&gt;"",E292&lt;&gt;""),IF((DATEVALUE(E292)-DATEVALUE(D292))&gt;365,"Long Term","Short Term"),"")</f>
        <v/>
      </c>
    </row>
    <row r="293" customFormat="false" ht="15" hidden="false" customHeight="false" outlineLevel="0" collapsed="false">
      <c r="I293" s="0" t="str">
        <f aca="false">IF(F293&lt;&gt;"",F293*G293,"")</f>
        <v/>
      </c>
      <c r="J293" s="0" t="str">
        <f aca="false">IF(F293&lt;&gt;"",F293*H293,"")</f>
        <v/>
      </c>
      <c r="K293" s="0" t="str">
        <f aca="false">IF(J293&lt;&gt;"",I293-J293,"")</f>
        <v/>
      </c>
      <c r="L293" s="0" t="str">
        <f aca="false">IF(AND(J293&lt;&gt;"",J293&lt;&gt;0),K293/J293,"")</f>
        <v/>
      </c>
      <c r="M293" s="0" t="str">
        <f aca="false">IF(AND(D293&lt;&gt;"",E293&lt;&gt;""),IF((DATEVALUE(E293)-DATEVALUE(D293))&gt;365,"Long Term","Short Term"),"")</f>
        <v/>
      </c>
    </row>
    <row r="294" customFormat="false" ht="15" hidden="false" customHeight="false" outlineLevel="0" collapsed="false">
      <c r="I294" s="0" t="str">
        <f aca="false">IF(F294&lt;&gt;"",F294*G294,"")</f>
        <v/>
      </c>
      <c r="J294" s="0" t="str">
        <f aca="false">IF(F294&lt;&gt;"",F294*H294,"")</f>
        <v/>
      </c>
      <c r="K294" s="0" t="str">
        <f aca="false">IF(J294&lt;&gt;"",I294-J294,"")</f>
        <v/>
      </c>
      <c r="L294" s="0" t="str">
        <f aca="false">IF(AND(J294&lt;&gt;"",J294&lt;&gt;0),K294/J294,"")</f>
        <v/>
      </c>
      <c r="M294" s="0" t="str">
        <f aca="false">IF(AND(D294&lt;&gt;"",E294&lt;&gt;""),IF((DATEVALUE(E294)-DATEVALUE(D294))&gt;365,"Long Term","Short Term"),"")</f>
        <v/>
      </c>
    </row>
    <row r="295" customFormat="false" ht="15" hidden="false" customHeight="false" outlineLevel="0" collapsed="false">
      <c r="I295" s="0" t="str">
        <f aca="false">IF(F295&lt;&gt;"",F295*G295,"")</f>
        <v/>
      </c>
      <c r="J295" s="0" t="str">
        <f aca="false">IF(F295&lt;&gt;"",F295*H295,"")</f>
        <v/>
      </c>
      <c r="K295" s="0" t="str">
        <f aca="false">IF(J295&lt;&gt;"",I295-J295,"")</f>
        <v/>
      </c>
      <c r="L295" s="0" t="str">
        <f aca="false">IF(AND(J295&lt;&gt;"",J295&lt;&gt;0),K295/J295,"")</f>
        <v/>
      </c>
      <c r="M295" s="0" t="str">
        <f aca="false">IF(AND(D295&lt;&gt;"",E295&lt;&gt;""),IF((DATEVALUE(E295)-DATEVALUE(D295))&gt;365,"Long Term","Short Term"),"")</f>
        <v/>
      </c>
    </row>
    <row r="296" customFormat="false" ht="15" hidden="false" customHeight="false" outlineLevel="0" collapsed="false">
      <c r="I296" s="0" t="str">
        <f aca="false">IF(F296&lt;&gt;"",F296*G296,"")</f>
        <v/>
      </c>
      <c r="J296" s="0" t="str">
        <f aca="false">IF(F296&lt;&gt;"",F296*H296,"")</f>
        <v/>
      </c>
      <c r="K296" s="0" t="str">
        <f aca="false">IF(J296&lt;&gt;"",I296-J296,"")</f>
        <v/>
      </c>
      <c r="L296" s="0" t="str">
        <f aca="false">IF(AND(J296&lt;&gt;"",J296&lt;&gt;0),K296/J296,"")</f>
        <v/>
      </c>
      <c r="M296" s="0" t="str">
        <f aca="false">IF(AND(D296&lt;&gt;"",E296&lt;&gt;""),IF((DATEVALUE(E296)-DATEVALUE(D296))&gt;365,"Long Term","Short Term"),"")</f>
        <v/>
      </c>
    </row>
    <row r="297" customFormat="false" ht="15" hidden="false" customHeight="false" outlineLevel="0" collapsed="false">
      <c r="I297" s="0" t="str">
        <f aca="false">IF(F297&lt;&gt;"",F297*G297,"")</f>
        <v/>
      </c>
      <c r="J297" s="0" t="str">
        <f aca="false">IF(F297&lt;&gt;"",F297*H297,"")</f>
        <v/>
      </c>
      <c r="K297" s="0" t="str">
        <f aca="false">IF(J297&lt;&gt;"",I297-J297,"")</f>
        <v/>
      </c>
      <c r="L297" s="0" t="str">
        <f aca="false">IF(AND(J297&lt;&gt;"",J297&lt;&gt;0),K297/J297,"")</f>
        <v/>
      </c>
      <c r="M297" s="0" t="str">
        <f aca="false">IF(AND(D297&lt;&gt;"",E297&lt;&gt;""),IF((DATEVALUE(E297)-DATEVALUE(D297))&gt;365,"Long Term","Short Term"),"")</f>
        <v/>
      </c>
    </row>
    <row r="298" customFormat="false" ht="15" hidden="false" customHeight="false" outlineLevel="0" collapsed="false">
      <c r="I298" s="0" t="str">
        <f aca="false">IF(F298&lt;&gt;"",F298*G298,"")</f>
        <v/>
      </c>
      <c r="J298" s="0" t="str">
        <f aca="false">IF(F298&lt;&gt;"",F298*H298,"")</f>
        <v/>
      </c>
      <c r="K298" s="0" t="str">
        <f aca="false">IF(J298&lt;&gt;"",I298-J298,"")</f>
        <v/>
      </c>
      <c r="L298" s="0" t="str">
        <f aca="false">IF(AND(J298&lt;&gt;"",J298&lt;&gt;0),K298/J298,"")</f>
        <v/>
      </c>
      <c r="M298" s="0" t="str">
        <f aca="false">IF(AND(D298&lt;&gt;"",E298&lt;&gt;""),IF((DATEVALUE(E298)-DATEVALUE(D298))&gt;365,"Long Term","Short Term"),"")</f>
        <v/>
      </c>
    </row>
    <row r="299" customFormat="false" ht="15" hidden="false" customHeight="false" outlineLevel="0" collapsed="false">
      <c r="I299" s="0" t="str">
        <f aca="false">IF(F299&lt;&gt;"",F299*G299,"")</f>
        <v/>
      </c>
      <c r="J299" s="0" t="str">
        <f aca="false">IF(F299&lt;&gt;"",F299*H299,"")</f>
        <v/>
      </c>
      <c r="K299" s="0" t="str">
        <f aca="false">IF(J299&lt;&gt;"",I299-J299,"")</f>
        <v/>
      </c>
      <c r="L299" s="0" t="str">
        <f aca="false">IF(AND(J299&lt;&gt;"",J299&lt;&gt;0),K299/J299,"")</f>
        <v/>
      </c>
      <c r="M299" s="0" t="str">
        <f aca="false">IF(AND(D299&lt;&gt;"",E299&lt;&gt;""),IF((DATEVALUE(E299)-DATEVALUE(D299))&gt;365,"Long Term","Short Term"),"")</f>
        <v/>
      </c>
    </row>
    <row r="300" customFormat="false" ht="15" hidden="false" customHeight="false" outlineLevel="0" collapsed="false">
      <c r="I300" s="0" t="str">
        <f aca="false">IF(F300&lt;&gt;"",F300*G300,"")</f>
        <v/>
      </c>
      <c r="J300" s="0" t="str">
        <f aca="false">IF(F300&lt;&gt;"",F300*H300,"")</f>
        <v/>
      </c>
      <c r="K300" s="0" t="str">
        <f aca="false">IF(J300&lt;&gt;"",I300-J300,"")</f>
        <v/>
      </c>
      <c r="L300" s="0" t="str">
        <f aca="false">IF(AND(J300&lt;&gt;"",J300&lt;&gt;0),K300/J300,"")</f>
        <v/>
      </c>
      <c r="M300" s="0" t="str">
        <f aca="false">IF(AND(D300&lt;&gt;"",E300&lt;&gt;""),IF((DATEVALUE(E300)-DATEVALUE(D300))&gt;365,"Long Term","Short Term"),"")</f>
        <v/>
      </c>
    </row>
    <row r="301" customFormat="false" ht="15" hidden="false" customHeight="false" outlineLevel="0" collapsed="false">
      <c r="I301" s="0" t="str">
        <f aca="false">IF(F301&lt;&gt;"",F301*G301,"")</f>
        <v/>
      </c>
      <c r="J301" s="0" t="str">
        <f aca="false">IF(F301&lt;&gt;"",F301*H301,"")</f>
        <v/>
      </c>
      <c r="K301" s="0" t="str">
        <f aca="false">IF(J301&lt;&gt;"",I301-J301,"")</f>
        <v/>
      </c>
      <c r="L301" s="0" t="str">
        <f aca="false">IF(AND(J301&lt;&gt;"",J301&lt;&gt;0),K301/J301,"")</f>
        <v/>
      </c>
      <c r="M301" s="0" t="str">
        <f aca="false">IF(AND(D301&lt;&gt;"",E301&lt;&gt;""),IF((DATEVALUE(E301)-DATEVALUE(D301))&gt;365,"Long Term","Short Term"),"")</f>
        <v/>
      </c>
    </row>
    <row r="302" customFormat="false" ht="15" hidden="false" customHeight="false" outlineLevel="0" collapsed="false">
      <c r="I302" s="0" t="str">
        <f aca="false">IF(F302&lt;&gt;"",F302*G302,"")</f>
        <v/>
      </c>
      <c r="J302" s="0" t="str">
        <f aca="false">IF(F302&lt;&gt;"",F302*H302,"")</f>
        <v/>
      </c>
      <c r="K302" s="0" t="str">
        <f aca="false">IF(J302&lt;&gt;"",I302-J302,"")</f>
        <v/>
      </c>
      <c r="L302" s="0" t="str">
        <f aca="false">IF(AND(J302&lt;&gt;"",J302&lt;&gt;0),K302/J302,"")</f>
        <v/>
      </c>
      <c r="M302" s="0" t="str">
        <f aca="false">IF(AND(D302&lt;&gt;"",E302&lt;&gt;""),IF((DATEVALUE(E302)-DATEVALUE(D302))&gt;365,"Long Term","Short Term"),"")</f>
        <v/>
      </c>
    </row>
    <row r="303" customFormat="false" ht="15" hidden="false" customHeight="false" outlineLevel="0" collapsed="false">
      <c r="I303" s="0" t="str">
        <f aca="false">IF(F303&lt;&gt;"",F303*G303,"")</f>
        <v/>
      </c>
      <c r="J303" s="0" t="str">
        <f aca="false">IF(F303&lt;&gt;"",F303*H303,"")</f>
        <v/>
      </c>
      <c r="K303" s="0" t="str">
        <f aca="false">IF(J303&lt;&gt;"",I303-J303,"")</f>
        <v/>
      </c>
      <c r="L303" s="0" t="str">
        <f aca="false">IF(AND(J303&lt;&gt;"",J303&lt;&gt;0),K303/J303,"")</f>
        <v/>
      </c>
      <c r="M303" s="0" t="str">
        <f aca="false">IF(AND(D303&lt;&gt;"",E303&lt;&gt;""),IF((DATEVALUE(E303)-DATEVALUE(D303))&gt;365,"Long Term","Short Term"),"")</f>
        <v/>
      </c>
    </row>
    <row r="304" customFormat="false" ht="15" hidden="false" customHeight="false" outlineLevel="0" collapsed="false">
      <c r="I304" s="0" t="str">
        <f aca="false">IF(F304&lt;&gt;"",F304*G304,"")</f>
        <v/>
      </c>
      <c r="J304" s="0" t="str">
        <f aca="false">IF(F304&lt;&gt;"",F304*H304,"")</f>
        <v/>
      </c>
      <c r="K304" s="0" t="str">
        <f aca="false">IF(J304&lt;&gt;"",I304-J304,"")</f>
        <v/>
      </c>
      <c r="L304" s="0" t="str">
        <f aca="false">IF(AND(J304&lt;&gt;"",J304&lt;&gt;0),K304/J304,"")</f>
        <v/>
      </c>
      <c r="M304" s="0" t="str">
        <f aca="false">IF(AND(D304&lt;&gt;"",E304&lt;&gt;""),IF((DATEVALUE(E304)-DATEVALUE(D304))&gt;365,"Long Term","Short Term"),"")</f>
        <v/>
      </c>
    </row>
    <row r="305" customFormat="false" ht="15" hidden="false" customHeight="false" outlineLevel="0" collapsed="false">
      <c r="I305" s="0" t="str">
        <f aca="false">IF(F305&lt;&gt;"",F305*G305,"")</f>
        <v/>
      </c>
      <c r="J305" s="0" t="str">
        <f aca="false">IF(F305&lt;&gt;"",F305*H305,"")</f>
        <v/>
      </c>
      <c r="K305" s="0" t="str">
        <f aca="false">IF(J305&lt;&gt;"",I305-J305,"")</f>
        <v/>
      </c>
      <c r="L305" s="0" t="str">
        <f aca="false">IF(AND(J305&lt;&gt;"",J305&lt;&gt;0),K305/J305,"")</f>
        <v/>
      </c>
      <c r="M305" s="0" t="str">
        <f aca="false">IF(AND(D305&lt;&gt;"",E305&lt;&gt;""),IF((DATEVALUE(E305)-DATEVALUE(D305))&gt;365,"Long Term","Short Term"),"")</f>
        <v/>
      </c>
    </row>
    <row r="306" customFormat="false" ht="15" hidden="false" customHeight="false" outlineLevel="0" collapsed="false">
      <c r="I306" s="0" t="str">
        <f aca="false">IF(F306&lt;&gt;"",F306*G306,"")</f>
        <v/>
      </c>
      <c r="J306" s="0" t="str">
        <f aca="false">IF(F306&lt;&gt;"",F306*H306,"")</f>
        <v/>
      </c>
      <c r="K306" s="0" t="str">
        <f aca="false">IF(J306&lt;&gt;"",I306-J306,"")</f>
        <v/>
      </c>
      <c r="L306" s="0" t="str">
        <f aca="false">IF(AND(J306&lt;&gt;"",J306&lt;&gt;0),K306/J306,"")</f>
        <v/>
      </c>
      <c r="M306" s="0" t="str">
        <f aca="false">IF(AND(D306&lt;&gt;"",E306&lt;&gt;""),IF((DATEVALUE(E306)-DATEVALUE(D306))&gt;365,"Long Term","Short Term"),"")</f>
        <v/>
      </c>
    </row>
    <row r="307" customFormat="false" ht="15" hidden="false" customHeight="false" outlineLevel="0" collapsed="false">
      <c r="I307" s="0" t="str">
        <f aca="false">IF(F307&lt;&gt;"",F307*G307,"")</f>
        <v/>
      </c>
      <c r="J307" s="0" t="str">
        <f aca="false">IF(F307&lt;&gt;"",F307*H307,"")</f>
        <v/>
      </c>
      <c r="K307" s="0" t="str">
        <f aca="false">IF(J307&lt;&gt;"",I307-J307,"")</f>
        <v/>
      </c>
      <c r="L307" s="0" t="str">
        <f aca="false">IF(AND(J307&lt;&gt;"",J307&lt;&gt;0),K307/J307,"")</f>
        <v/>
      </c>
      <c r="M307" s="0" t="str">
        <f aca="false">IF(AND(D307&lt;&gt;"",E307&lt;&gt;""),IF((DATEVALUE(E307)-DATEVALUE(D307))&gt;365,"Long Term","Short Term"),"")</f>
        <v/>
      </c>
    </row>
    <row r="308" customFormat="false" ht="15" hidden="false" customHeight="false" outlineLevel="0" collapsed="false">
      <c r="I308" s="0" t="str">
        <f aca="false">IF(F308&lt;&gt;"",F308*G308,"")</f>
        <v/>
      </c>
      <c r="J308" s="0" t="str">
        <f aca="false">IF(F308&lt;&gt;"",F308*H308,"")</f>
        <v/>
      </c>
      <c r="K308" s="0" t="str">
        <f aca="false">IF(J308&lt;&gt;"",I308-J308,"")</f>
        <v/>
      </c>
      <c r="L308" s="0" t="str">
        <f aca="false">IF(AND(J308&lt;&gt;"",J308&lt;&gt;0),K308/J308,"")</f>
        <v/>
      </c>
      <c r="M308" s="0" t="str">
        <f aca="false">IF(AND(D308&lt;&gt;"",E308&lt;&gt;""),IF((DATEVALUE(E308)-DATEVALUE(D308))&gt;365,"Long Term","Short Term"),"")</f>
        <v/>
      </c>
    </row>
    <row r="309" customFormat="false" ht="15" hidden="false" customHeight="false" outlineLevel="0" collapsed="false">
      <c r="I309" s="0" t="str">
        <f aca="false">IF(F309&lt;&gt;"",F309*G309,"")</f>
        <v/>
      </c>
      <c r="J309" s="0" t="str">
        <f aca="false">IF(F309&lt;&gt;"",F309*H309,"")</f>
        <v/>
      </c>
      <c r="K309" s="0" t="str">
        <f aca="false">IF(J309&lt;&gt;"",I309-J309,"")</f>
        <v/>
      </c>
      <c r="L309" s="0" t="str">
        <f aca="false">IF(AND(J309&lt;&gt;"",J309&lt;&gt;0),K309/J309,"")</f>
        <v/>
      </c>
      <c r="M309" s="0" t="str">
        <f aca="false">IF(AND(D309&lt;&gt;"",E309&lt;&gt;""),IF((DATEVALUE(E309)-DATEVALUE(D309))&gt;365,"Long Term","Short Term"),"")</f>
        <v/>
      </c>
    </row>
    <row r="310" customFormat="false" ht="15" hidden="false" customHeight="false" outlineLevel="0" collapsed="false">
      <c r="I310" s="0" t="str">
        <f aca="false">IF(F310&lt;&gt;"",F310*G310,"")</f>
        <v/>
      </c>
      <c r="J310" s="0" t="str">
        <f aca="false">IF(F310&lt;&gt;"",F310*H310,"")</f>
        <v/>
      </c>
      <c r="K310" s="0" t="str">
        <f aca="false">IF(J310&lt;&gt;"",I310-J310,"")</f>
        <v/>
      </c>
      <c r="L310" s="0" t="str">
        <f aca="false">IF(AND(J310&lt;&gt;"",J310&lt;&gt;0),K310/J310,"")</f>
        <v/>
      </c>
      <c r="M310" s="0" t="str">
        <f aca="false">IF(AND(D310&lt;&gt;"",E310&lt;&gt;""),IF((DATEVALUE(E310)-DATEVALUE(D310))&gt;365,"Long Term","Short Term"),"")</f>
        <v/>
      </c>
    </row>
    <row r="311" customFormat="false" ht="15" hidden="false" customHeight="false" outlineLevel="0" collapsed="false">
      <c r="I311" s="0" t="str">
        <f aca="false">IF(F311&lt;&gt;"",F311*G311,"")</f>
        <v/>
      </c>
      <c r="J311" s="0" t="str">
        <f aca="false">IF(F311&lt;&gt;"",F311*H311,"")</f>
        <v/>
      </c>
      <c r="K311" s="0" t="str">
        <f aca="false">IF(J311&lt;&gt;"",I311-J311,"")</f>
        <v/>
      </c>
      <c r="L311" s="0" t="str">
        <f aca="false">IF(AND(J311&lt;&gt;"",J311&lt;&gt;0),K311/J311,"")</f>
        <v/>
      </c>
      <c r="M311" s="0" t="str">
        <f aca="false">IF(AND(D311&lt;&gt;"",E311&lt;&gt;""),IF((DATEVALUE(E311)-DATEVALUE(D311))&gt;365,"Long Term","Short Term"),"")</f>
        <v/>
      </c>
    </row>
    <row r="312" customFormat="false" ht="15" hidden="false" customHeight="false" outlineLevel="0" collapsed="false">
      <c r="I312" s="0" t="str">
        <f aca="false">IF(F312&lt;&gt;"",F312*G312,"")</f>
        <v/>
      </c>
      <c r="J312" s="0" t="str">
        <f aca="false">IF(F312&lt;&gt;"",F312*H312,"")</f>
        <v/>
      </c>
      <c r="K312" s="0" t="str">
        <f aca="false">IF(J312&lt;&gt;"",I312-J312,"")</f>
        <v/>
      </c>
      <c r="L312" s="0" t="str">
        <f aca="false">IF(AND(J312&lt;&gt;"",J312&lt;&gt;0),K312/J312,"")</f>
        <v/>
      </c>
      <c r="M312" s="0" t="str">
        <f aca="false">IF(AND(D312&lt;&gt;"",E312&lt;&gt;""),IF((DATEVALUE(E312)-DATEVALUE(D312))&gt;365,"Long Term","Short Term"),"")</f>
        <v/>
      </c>
    </row>
    <row r="313" customFormat="false" ht="15" hidden="false" customHeight="false" outlineLevel="0" collapsed="false">
      <c r="I313" s="0" t="str">
        <f aca="false">IF(F313&lt;&gt;"",F313*G313,"")</f>
        <v/>
      </c>
      <c r="J313" s="0" t="str">
        <f aca="false">IF(F313&lt;&gt;"",F313*H313,"")</f>
        <v/>
      </c>
      <c r="K313" s="0" t="str">
        <f aca="false">IF(J313&lt;&gt;"",I313-J313,"")</f>
        <v/>
      </c>
      <c r="L313" s="0" t="str">
        <f aca="false">IF(AND(J313&lt;&gt;"",J313&lt;&gt;0),K313/J313,"")</f>
        <v/>
      </c>
      <c r="M313" s="0" t="str">
        <f aca="false">IF(AND(D313&lt;&gt;"",E313&lt;&gt;""),IF((DATEVALUE(E313)-DATEVALUE(D313))&gt;365,"Long Term","Short Term"),"")</f>
        <v/>
      </c>
    </row>
    <row r="314" customFormat="false" ht="15" hidden="false" customHeight="false" outlineLevel="0" collapsed="false">
      <c r="I314" s="0" t="str">
        <f aca="false">IF(F314&lt;&gt;"",F314*G314,"")</f>
        <v/>
      </c>
      <c r="J314" s="0" t="str">
        <f aca="false">IF(F314&lt;&gt;"",F314*H314,"")</f>
        <v/>
      </c>
      <c r="K314" s="0" t="str">
        <f aca="false">IF(J314&lt;&gt;"",I314-J314,"")</f>
        <v/>
      </c>
      <c r="L314" s="0" t="str">
        <f aca="false">IF(AND(J314&lt;&gt;"",J314&lt;&gt;0),K314/J314,"")</f>
        <v/>
      </c>
      <c r="M314" s="0" t="str">
        <f aca="false">IF(AND(D314&lt;&gt;"",E314&lt;&gt;""),IF((DATEVALUE(E314)-DATEVALUE(D314))&gt;365,"Long Term","Short Term"),"")</f>
        <v/>
      </c>
    </row>
    <row r="315" customFormat="false" ht="15" hidden="false" customHeight="false" outlineLevel="0" collapsed="false">
      <c r="I315" s="0" t="str">
        <f aca="false">IF(F315&lt;&gt;"",F315*G315,"")</f>
        <v/>
      </c>
      <c r="J315" s="0" t="str">
        <f aca="false">IF(F315&lt;&gt;"",F315*H315,"")</f>
        <v/>
      </c>
      <c r="K315" s="0" t="str">
        <f aca="false">IF(J315&lt;&gt;"",I315-J315,"")</f>
        <v/>
      </c>
      <c r="L315" s="0" t="str">
        <f aca="false">IF(AND(J315&lt;&gt;"",J315&lt;&gt;0),K315/J315,"")</f>
        <v/>
      </c>
      <c r="M315" s="0" t="str">
        <f aca="false">IF(AND(D315&lt;&gt;"",E315&lt;&gt;""),IF((DATEVALUE(E315)-DATEVALUE(D315))&gt;365,"Long Term","Short Term"),"")</f>
        <v/>
      </c>
    </row>
    <row r="316" customFormat="false" ht="15" hidden="false" customHeight="false" outlineLevel="0" collapsed="false">
      <c r="I316" s="0" t="str">
        <f aca="false">IF(F316&lt;&gt;"",F316*G316,"")</f>
        <v/>
      </c>
      <c r="J316" s="0" t="str">
        <f aca="false">IF(F316&lt;&gt;"",F316*H316,"")</f>
        <v/>
      </c>
      <c r="K316" s="0" t="str">
        <f aca="false">IF(J316&lt;&gt;"",I316-J316,"")</f>
        <v/>
      </c>
      <c r="L316" s="0" t="str">
        <f aca="false">IF(AND(J316&lt;&gt;"",J316&lt;&gt;0),K316/J316,"")</f>
        <v/>
      </c>
      <c r="M316" s="0" t="str">
        <f aca="false">IF(AND(D316&lt;&gt;"",E316&lt;&gt;""),IF((DATEVALUE(E316)-DATEVALUE(D316))&gt;365,"Long Term","Short Term"),"")</f>
        <v/>
      </c>
    </row>
    <row r="317" customFormat="false" ht="15" hidden="false" customHeight="false" outlineLevel="0" collapsed="false">
      <c r="I317" s="0" t="str">
        <f aca="false">IF(F317&lt;&gt;"",F317*G317,"")</f>
        <v/>
      </c>
      <c r="J317" s="0" t="str">
        <f aca="false">IF(F317&lt;&gt;"",F317*H317,"")</f>
        <v/>
      </c>
      <c r="K317" s="0" t="str">
        <f aca="false">IF(J317&lt;&gt;"",I317-J317,"")</f>
        <v/>
      </c>
      <c r="L317" s="0" t="str">
        <f aca="false">IF(AND(J317&lt;&gt;"",J317&lt;&gt;0),K317/J317,"")</f>
        <v/>
      </c>
      <c r="M317" s="0" t="str">
        <f aca="false">IF(AND(D317&lt;&gt;"",E317&lt;&gt;""),IF((DATEVALUE(E317)-DATEVALUE(D317))&gt;365,"Long Term","Short Term"),"")</f>
        <v/>
      </c>
    </row>
    <row r="318" customFormat="false" ht="15" hidden="false" customHeight="false" outlineLevel="0" collapsed="false">
      <c r="I318" s="0" t="str">
        <f aca="false">IF(F318&lt;&gt;"",F318*G318,"")</f>
        <v/>
      </c>
      <c r="J318" s="0" t="str">
        <f aca="false">IF(F318&lt;&gt;"",F318*H318,"")</f>
        <v/>
      </c>
      <c r="K318" s="0" t="str">
        <f aca="false">IF(J318&lt;&gt;"",I318-J318,"")</f>
        <v/>
      </c>
      <c r="L318" s="0" t="str">
        <f aca="false">IF(AND(J318&lt;&gt;"",J318&lt;&gt;0),K318/J318,"")</f>
        <v/>
      </c>
      <c r="M318" s="0" t="str">
        <f aca="false">IF(AND(D318&lt;&gt;"",E318&lt;&gt;""),IF((DATEVALUE(E318)-DATEVALUE(D318))&gt;365,"Long Term","Short Term"),"")</f>
        <v/>
      </c>
    </row>
    <row r="319" customFormat="false" ht="15" hidden="false" customHeight="false" outlineLevel="0" collapsed="false">
      <c r="I319" s="0" t="str">
        <f aca="false">IF(F319&lt;&gt;"",F319*G319,"")</f>
        <v/>
      </c>
      <c r="J319" s="0" t="str">
        <f aca="false">IF(F319&lt;&gt;"",F319*H319,"")</f>
        <v/>
      </c>
      <c r="K319" s="0" t="str">
        <f aca="false">IF(J319&lt;&gt;"",I319-J319,"")</f>
        <v/>
      </c>
      <c r="L319" s="0" t="str">
        <f aca="false">IF(AND(J319&lt;&gt;"",J319&lt;&gt;0),K319/J319,"")</f>
        <v/>
      </c>
      <c r="M319" s="0" t="str">
        <f aca="false">IF(AND(D319&lt;&gt;"",E319&lt;&gt;""),IF((DATEVALUE(E319)-DATEVALUE(D319))&gt;365,"Long Term","Short Term"),"")</f>
        <v/>
      </c>
    </row>
    <row r="320" customFormat="false" ht="15" hidden="false" customHeight="false" outlineLevel="0" collapsed="false">
      <c r="I320" s="0" t="str">
        <f aca="false">IF(F320&lt;&gt;"",F320*G320,"")</f>
        <v/>
      </c>
      <c r="J320" s="0" t="str">
        <f aca="false">IF(F320&lt;&gt;"",F320*H320,"")</f>
        <v/>
      </c>
      <c r="K320" s="0" t="str">
        <f aca="false">IF(J320&lt;&gt;"",I320-J320,"")</f>
        <v/>
      </c>
      <c r="L320" s="0" t="str">
        <f aca="false">IF(AND(J320&lt;&gt;"",J320&lt;&gt;0),K320/J320,"")</f>
        <v/>
      </c>
      <c r="M320" s="0" t="str">
        <f aca="false">IF(AND(D320&lt;&gt;"",E320&lt;&gt;""),IF((DATEVALUE(E320)-DATEVALUE(D320))&gt;365,"Long Term","Short Term"),"")</f>
        <v/>
      </c>
    </row>
    <row r="321" customFormat="false" ht="15" hidden="false" customHeight="false" outlineLevel="0" collapsed="false">
      <c r="I321" s="0" t="str">
        <f aca="false">IF(F321&lt;&gt;"",F321*G321,"")</f>
        <v/>
      </c>
      <c r="J321" s="0" t="str">
        <f aca="false">IF(F321&lt;&gt;"",F321*H321,"")</f>
        <v/>
      </c>
      <c r="K321" s="0" t="str">
        <f aca="false">IF(J321&lt;&gt;"",I321-J321,"")</f>
        <v/>
      </c>
      <c r="L321" s="0" t="str">
        <f aca="false">IF(AND(J321&lt;&gt;"",J321&lt;&gt;0),K321/J321,"")</f>
        <v/>
      </c>
      <c r="M321" s="0" t="str">
        <f aca="false">IF(AND(D321&lt;&gt;"",E321&lt;&gt;""),IF((DATEVALUE(E321)-DATEVALUE(D321))&gt;365,"Long Term","Short Term"),"")</f>
        <v/>
      </c>
    </row>
    <row r="322" customFormat="false" ht="15" hidden="false" customHeight="false" outlineLevel="0" collapsed="false">
      <c r="I322" s="0" t="str">
        <f aca="false">IF(F322&lt;&gt;"",F322*G322,"")</f>
        <v/>
      </c>
      <c r="J322" s="0" t="str">
        <f aca="false">IF(F322&lt;&gt;"",F322*H322,"")</f>
        <v/>
      </c>
      <c r="K322" s="0" t="str">
        <f aca="false">IF(J322&lt;&gt;"",I322-J322,"")</f>
        <v/>
      </c>
      <c r="L322" s="0" t="str">
        <f aca="false">IF(AND(J322&lt;&gt;"",J322&lt;&gt;0),K322/J322,"")</f>
        <v/>
      </c>
      <c r="M322" s="0" t="str">
        <f aca="false">IF(AND(D322&lt;&gt;"",E322&lt;&gt;""),IF((DATEVALUE(E322)-DATEVALUE(D322))&gt;365,"Long Term","Short Term"),"")</f>
        <v/>
      </c>
    </row>
    <row r="323" customFormat="false" ht="15" hidden="false" customHeight="false" outlineLevel="0" collapsed="false">
      <c r="I323" s="0" t="str">
        <f aca="false">IF(F323&lt;&gt;"",F323*G323,"")</f>
        <v/>
      </c>
      <c r="J323" s="0" t="str">
        <f aca="false">IF(F323&lt;&gt;"",F323*H323,"")</f>
        <v/>
      </c>
      <c r="K323" s="0" t="str">
        <f aca="false">IF(J323&lt;&gt;"",I323-J323,"")</f>
        <v/>
      </c>
      <c r="L323" s="0" t="str">
        <f aca="false">IF(AND(J323&lt;&gt;"",J323&lt;&gt;0),K323/J323,"")</f>
        <v/>
      </c>
      <c r="M323" s="0" t="str">
        <f aca="false">IF(AND(D323&lt;&gt;"",E323&lt;&gt;""),IF((DATEVALUE(E323)-DATEVALUE(D323))&gt;365,"Long Term","Short Term"),"")</f>
        <v/>
      </c>
    </row>
    <row r="324" customFormat="false" ht="15" hidden="false" customHeight="false" outlineLevel="0" collapsed="false">
      <c r="I324" s="0" t="str">
        <f aca="false">IF(F324&lt;&gt;"",F324*G324,"")</f>
        <v/>
      </c>
      <c r="J324" s="0" t="str">
        <f aca="false">IF(F324&lt;&gt;"",F324*H324,"")</f>
        <v/>
      </c>
      <c r="K324" s="0" t="str">
        <f aca="false">IF(J324&lt;&gt;"",I324-J324,"")</f>
        <v/>
      </c>
      <c r="L324" s="0" t="str">
        <f aca="false">IF(AND(J324&lt;&gt;"",J324&lt;&gt;0),K324/J324,"")</f>
        <v/>
      </c>
      <c r="M324" s="0" t="str">
        <f aca="false">IF(AND(D324&lt;&gt;"",E324&lt;&gt;""),IF((DATEVALUE(E324)-DATEVALUE(D324))&gt;365,"Long Term","Short Term"),"")</f>
        <v/>
      </c>
    </row>
    <row r="325" customFormat="false" ht="15" hidden="false" customHeight="false" outlineLevel="0" collapsed="false">
      <c r="I325" s="0" t="str">
        <f aca="false">IF(F325&lt;&gt;"",F325*G325,"")</f>
        <v/>
      </c>
      <c r="J325" s="0" t="str">
        <f aca="false">IF(F325&lt;&gt;"",F325*H325,"")</f>
        <v/>
      </c>
      <c r="K325" s="0" t="str">
        <f aca="false">IF(J325&lt;&gt;"",I325-J325,"")</f>
        <v/>
      </c>
      <c r="L325" s="0" t="str">
        <f aca="false">IF(AND(J325&lt;&gt;"",J325&lt;&gt;0),K325/J325,"")</f>
        <v/>
      </c>
      <c r="M325" s="0" t="str">
        <f aca="false">IF(AND(D325&lt;&gt;"",E325&lt;&gt;""),IF((DATEVALUE(E325)-DATEVALUE(D325))&gt;365,"Long Term","Short Term"),"")</f>
        <v/>
      </c>
    </row>
    <row r="326" customFormat="false" ht="15" hidden="false" customHeight="false" outlineLevel="0" collapsed="false">
      <c r="I326" s="0" t="str">
        <f aca="false">IF(F326&lt;&gt;"",F326*G326,"")</f>
        <v/>
      </c>
      <c r="J326" s="0" t="str">
        <f aca="false">IF(F326&lt;&gt;"",F326*H326,"")</f>
        <v/>
      </c>
      <c r="K326" s="0" t="str">
        <f aca="false">IF(J326&lt;&gt;"",I326-J326,"")</f>
        <v/>
      </c>
      <c r="L326" s="0" t="str">
        <f aca="false">IF(AND(J326&lt;&gt;"",J326&lt;&gt;0),K326/J326,"")</f>
        <v/>
      </c>
      <c r="M326" s="0" t="str">
        <f aca="false">IF(AND(D326&lt;&gt;"",E326&lt;&gt;""),IF((DATEVALUE(E326)-DATEVALUE(D326))&gt;365,"Long Term","Short Term"),"")</f>
        <v/>
      </c>
    </row>
    <row r="327" customFormat="false" ht="15" hidden="false" customHeight="false" outlineLevel="0" collapsed="false">
      <c r="I327" s="0" t="str">
        <f aca="false">IF(F327&lt;&gt;"",F327*G327,"")</f>
        <v/>
      </c>
      <c r="J327" s="0" t="str">
        <f aca="false">IF(F327&lt;&gt;"",F327*H327,"")</f>
        <v/>
      </c>
      <c r="K327" s="0" t="str">
        <f aca="false">IF(J327&lt;&gt;"",I327-J327,"")</f>
        <v/>
      </c>
      <c r="L327" s="0" t="str">
        <f aca="false">IF(AND(J327&lt;&gt;"",J327&lt;&gt;0),K327/J327,"")</f>
        <v/>
      </c>
      <c r="M327" s="0" t="str">
        <f aca="false">IF(AND(D327&lt;&gt;"",E327&lt;&gt;""),IF((DATEVALUE(E327)-DATEVALUE(D327))&gt;365,"Long Term","Short Term"),"")</f>
        <v/>
      </c>
    </row>
    <row r="328" customFormat="false" ht="15" hidden="false" customHeight="false" outlineLevel="0" collapsed="false">
      <c r="I328" s="0" t="str">
        <f aca="false">IF(F328&lt;&gt;"",F328*G328,"")</f>
        <v/>
      </c>
      <c r="J328" s="0" t="str">
        <f aca="false">IF(F328&lt;&gt;"",F328*H328,"")</f>
        <v/>
      </c>
      <c r="K328" s="0" t="str">
        <f aca="false">IF(J328&lt;&gt;"",I328-J328,"")</f>
        <v/>
      </c>
      <c r="L328" s="0" t="str">
        <f aca="false">IF(AND(J328&lt;&gt;"",J328&lt;&gt;0),K328/J328,"")</f>
        <v/>
      </c>
      <c r="M328" s="0" t="str">
        <f aca="false">IF(AND(D328&lt;&gt;"",E328&lt;&gt;""),IF((DATEVALUE(E328)-DATEVALUE(D328))&gt;365,"Long Term","Short Term"),"")</f>
        <v/>
      </c>
    </row>
    <row r="329" customFormat="false" ht="15" hidden="false" customHeight="false" outlineLevel="0" collapsed="false">
      <c r="I329" s="0" t="str">
        <f aca="false">IF(F329&lt;&gt;"",F329*G329,"")</f>
        <v/>
      </c>
      <c r="J329" s="0" t="str">
        <f aca="false">IF(F329&lt;&gt;"",F329*H329,"")</f>
        <v/>
      </c>
      <c r="K329" s="0" t="str">
        <f aca="false">IF(J329&lt;&gt;"",I329-J329,"")</f>
        <v/>
      </c>
      <c r="L329" s="0" t="str">
        <f aca="false">IF(AND(J329&lt;&gt;"",J329&lt;&gt;0),K329/J329,"")</f>
        <v/>
      </c>
      <c r="M329" s="0" t="str">
        <f aca="false">IF(AND(D329&lt;&gt;"",E329&lt;&gt;""),IF((DATEVALUE(E329)-DATEVALUE(D329))&gt;365,"Long Term","Short Term"),"")</f>
        <v/>
      </c>
    </row>
    <row r="330" customFormat="false" ht="15" hidden="false" customHeight="false" outlineLevel="0" collapsed="false">
      <c r="I330" s="0" t="str">
        <f aca="false">IF(F330&lt;&gt;"",F330*G330,"")</f>
        <v/>
      </c>
      <c r="J330" s="0" t="str">
        <f aca="false">IF(F330&lt;&gt;"",F330*H330,"")</f>
        <v/>
      </c>
      <c r="K330" s="0" t="str">
        <f aca="false">IF(J330&lt;&gt;"",I330-J330,"")</f>
        <v/>
      </c>
      <c r="L330" s="0" t="str">
        <f aca="false">IF(AND(J330&lt;&gt;"",J330&lt;&gt;0),K330/J330,"")</f>
        <v/>
      </c>
      <c r="M330" s="0" t="str">
        <f aca="false">IF(AND(D330&lt;&gt;"",E330&lt;&gt;""),IF((DATEVALUE(E330)-DATEVALUE(D330))&gt;365,"Long Term","Short Term"),"")</f>
        <v/>
      </c>
    </row>
    <row r="331" customFormat="false" ht="15" hidden="false" customHeight="false" outlineLevel="0" collapsed="false">
      <c r="I331" s="0" t="str">
        <f aca="false">IF(F331&lt;&gt;"",F331*G331,"")</f>
        <v/>
      </c>
      <c r="J331" s="0" t="str">
        <f aca="false">IF(F331&lt;&gt;"",F331*H331,"")</f>
        <v/>
      </c>
      <c r="K331" s="0" t="str">
        <f aca="false">IF(J331&lt;&gt;"",I331-J331,"")</f>
        <v/>
      </c>
      <c r="L331" s="0" t="str">
        <f aca="false">IF(AND(J331&lt;&gt;"",J331&lt;&gt;0),K331/J331,"")</f>
        <v/>
      </c>
      <c r="M331" s="0" t="str">
        <f aca="false">IF(AND(D331&lt;&gt;"",E331&lt;&gt;""),IF((DATEVALUE(E331)-DATEVALUE(D331))&gt;365,"Long Term","Short Term"),"")</f>
        <v/>
      </c>
    </row>
    <row r="332" customFormat="false" ht="15" hidden="false" customHeight="false" outlineLevel="0" collapsed="false">
      <c r="I332" s="0" t="str">
        <f aca="false">IF(F332&lt;&gt;"",F332*G332,"")</f>
        <v/>
      </c>
      <c r="J332" s="0" t="str">
        <f aca="false">IF(F332&lt;&gt;"",F332*H332,"")</f>
        <v/>
      </c>
      <c r="K332" s="0" t="str">
        <f aca="false">IF(J332&lt;&gt;"",I332-J332,"")</f>
        <v/>
      </c>
      <c r="L332" s="0" t="str">
        <f aca="false">IF(AND(J332&lt;&gt;"",J332&lt;&gt;0),K332/J332,"")</f>
        <v/>
      </c>
      <c r="M332" s="0" t="str">
        <f aca="false">IF(AND(D332&lt;&gt;"",E332&lt;&gt;""),IF((DATEVALUE(E332)-DATEVALUE(D332))&gt;365,"Long Term","Short Term"),"")</f>
        <v/>
      </c>
    </row>
    <row r="333" customFormat="false" ht="15" hidden="false" customHeight="false" outlineLevel="0" collapsed="false">
      <c r="I333" s="0" t="str">
        <f aca="false">IF(F333&lt;&gt;"",F333*G333,"")</f>
        <v/>
      </c>
      <c r="J333" s="0" t="str">
        <f aca="false">IF(F333&lt;&gt;"",F333*H333,"")</f>
        <v/>
      </c>
      <c r="K333" s="0" t="str">
        <f aca="false">IF(J333&lt;&gt;"",I333-J333,"")</f>
        <v/>
      </c>
      <c r="L333" s="0" t="str">
        <f aca="false">IF(AND(J333&lt;&gt;"",J333&lt;&gt;0),K333/J333,"")</f>
        <v/>
      </c>
      <c r="M333" s="0" t="str">
        <f aca="false">IF(AND(D333&lt;&gt;"",E333&lt;&gt;""),IF((DATEVALUE(E333)-DATEVALUE(D333))&gt;365,"Long Term","Short Term"),"")</f>
        <v/>
      </c>
    </row>
    <row r="334" customFormat="false" ht="15" hidden="false" customHeight="false" outlineLevel="0" collapsed="false">
      <c r="I334" s="0" t="str">
        <f aca="false">IF(F334&lt;&gt;"",F334*G334,"")</f>
        <v/>
      </c>
      <c r="J334" s="0" t="str">
        <f aca="false">IF(F334&lt;&gt;"",F334*H334,"")</f>
        <v/>
      </c>
      <c r="K334" s="0" t="str">
        <f aca="false">IF(J334&lt;&gt;"",I334-J334,"")</f>
        <v/>
      </c>
      <c r="L334" s="0" t="str">
        <f aca="false">IF(AND(J334&lt;&gt;"",J334&lt;&gt;0),K334/J334,"")</f>
        <v/>
      </c>
      <c r="M334" s="0" t="str">
        <f aca="false">IF(AND(D334&lt;&gt;"",E334&lt;&gt;""),IF((DATEVALUE(E334)-DATEVALUE(D334))&gt;365,"Long Term","Short Term"),"")</f>
        <v/>
      </c>
    </row>
    <row r="335" customFormat="false" ht="15" hidden="false" customHeight="false" outlineLevel="0" collapsed="false">
      <c r="I335" s="0" t="str">
        <f aca="false">IF(F335&lt;&gt;"",F335*G335,"")</f>
        <v/>
      </c>
      <c r="J335" s="0" t="str">
        <f aca="false">IF(F335&lt;&gt;"",F335*H335,"")</f>
        <v/>
      </c>
      <c r="K335" s="0" t="str">
        <f aca="false">IF(J335&lt;&gt;"",I335-J335,"")</f>
        <v/>
      </c>
      <c r="L335" s="0" t="str">
        <f aca="false">IF(AND(J335&lt;&gt;"",J335&lt;&gt;0),K335/J335,"")</f>
        <v/>
      </c>
      <c r="M335" s="0" t="str">
        <f aca="false">IF(AND(D335&lt;&gt;"",E335&lt;&gt;""),IF((DATEVALUE(E335)-DATEVALUE(D335))&gt;365,"Long Term","Short Term"),"")</f>
        <v/>
      </c>
    </row>
    <row r="336" customFormat="false" ht="15" hidden="false" customHeight="false" outlineLevel="0" collapsed="false">
      <c r="I336" s="0" t="str">
        <f aca="false">IF(F336&lt;&gt;"",F336*G336,"")</f>
        <v/>
      </c>
      <c r="J336" s="0" t="str">
        <f aca="false">IF(F336&lt;&gt;"",F336*H336,"")</f>
        <v/>
      </c>
      <c r="K336" s="0" t="str">
        <f aca="false">IF(J336&lt;&gt;"",I336-J336,"")</f>
        <v/>
      </c>
      <c r="L336" s="0" t="str">
        <f aca="false">IF(AND(J336&lt;&gt;"",J336&lt;&gt;0),K336/J336,"")</f>
        <v/>
      </c>
      <c r="M336" s="0" t="str">
        <f aca="false">IF(AND(D336&lt;&gt;"",E336&lt;&gt;""),IF((DATEVALUE(E336)-DATEVALUE(D336))&gt;365,"Long Term","Short Term"),"")</f>
        <v/>
      </c>
    </row>
    <row r="337" customFormat="false" ht="15" hidden="false" customHeight="false" outlineLevel="0" collapsed="false">
      <c r="I337" s="0" t="str">
        <f aca="false">IF(F337&lt;&gt;"",F337*G337,"")</f>
        <v/>
      </c>
      <c r="J337" s="0" t="str">
        <f aca="false">IF(F337&lt;&gt;"",F337*H337,"")</f>
        <v/>
      </c>
      <c r="K337" s="0" t="str">
        <f aca="false">IF(J337&lt;&gt;"",I337-J337,"")</f>
        <v/>
      </c>
      <c r="L337" s="0" t="str">
        <f aca="false">IF(AND(J337&lt;&gt;"",J337&lt;&gt;0),K337/J337,"")</f>
        <v/>
      </c>
      <c r="M337" s="0" t="str">
        <f aca="false">IF(AND(D337&lt;&gt;"",E337&lt;&gt;""),IF((DATEVALUE(E337)-DATEVALUE(D337))&gt;365,"Long Term","Short Term"),"")</f>
        <v/>
      </c>
    </row>
    <row r="338" customFormat="false" ht="15" hidden="false" customHeight="false" outlineLevel="0" collapsed="false">
      <c r="I338" s="0" t="str">
        <f aca="false">IF(F338&lt;&gt;"",F338*G338,"")</f>
        <v/>
      </c>
      <c r="J338" s="0" t="str">
        <f aca="false">IF(F338&lt;&gt;"",F338*H338,"")</f>
        <v/>
      </c>
      <c r="K338" s="0" t="str">
        <f aca="false">IF(J338&lt;&gt;"",I338-J338,"")</f>
        <v/>
      </c>
      <c r="L338" s="0" t="str">
        <f aca="false">IF(AND(J338&lt;&gt;"",J338&lt;&gt;0),K338/J338,"")</f>
        <v/>
      </c>
      <c r="M338" s="0" t="str">
        <f aca="false">IF(AND(D338&lt;&gt;"",E338&lt;&gt;""),IF((DATEVALUE(E338)-DATEVALUE(D338))&gt;365,"Long Term","Short Term"),"")</f>
        <v/>
      </c>
    </row>
    <row r="339" customFormat="false" ht="15" hidden="false" customHeight="false" outlineLevel="0" collapsed="false">
      <c r="I339" s="0" t="str">
        <f aca="false">IF(F339&lt;&gt;"",F339*G339,"")</f>
        <v/>
      </c>
      <c r="J339" s="0" t="str">
        <f aca="false">IF(F339&lt;&gt;"",F339*H339,"")</f>
        <v/>
      </c>
      <c r="K339" s="0" t="str">
        <f aca="false">IF(J339&lt;&gt;"",I339-J339,"")</f>
        <v/>
      </c>
      <c r="L339" s="0" t="str">
        <f aca="false">IF(AND(J339&lt;&gt;"",J339&lt;&gt;0),K339/J339,"")</f>
        <v/>
      </c>
      <c r="M339" s="0" t="str">
        <f aca="false">IF(AND(D339&lt;&gt;"",E339&lt;&gt;""),IF((DATEVALUE(E339)-DATEVALUE(D339))&gt;365,"Long Term","Short Term"),"")</f>
        <v/>
      </c>
    </row>
    <row r="340" customFormat="false" ht="15" hidden="false" customHeight="false" outlineLevel="0" collapsed="false">
      <c r="I340" s="0" t="str">
        <f aca="false">IF(F340&lt;&gt;"",F340*G340,"")</f>
        <v/>
      </c>
      <c r="J340" s="0" t="str">
        <f aca="false">IF(F340&lt;&gt;"",F340*H340,"")</f>
        <v/>
      </c>
      <c r="K340" s="0" t="str">
        <f aca="false">IF(J340&lt;&gt;"",I340-J340,"")</f>
        <v/>
      </c>
      <c r="L340" s="0" t="str">
        <f aca="false">IF(AND(J340&lt;&gt;"",J340&lt;&gt;0),K340/J340,"")</f>
        <v/>
      </c>
      <c r="M340" s="0" t="str">
        <f aca="false">IF(AND(D340&lt;&gt;"",E340&lt;&gt;""),IF((DATEVALUE(E340)-DATEVALUE(D340))&gt;365,"Long Term","Short Term"),"")</f>
        <v/>
      </c>
    </row>
    <row r="341" customFormat="false" ht="15" hidden="false" customHeight="false" outlineLevel="0" collapsed="false">
      <c r="I341" s="0" t="str">
        <f aca="false">IF(F341&lt;&gt;"",F341*G341,"")</f>
        <v/>
      </c>
      <c r="J341" s="0" t="str">
        <f aca="false">IF(F341&lt;&gt;"",F341*H341,"")</f>
        <v/>
      </c>
      <c r="K341" s="0" t="str">
        <f aca="false">IF(J341&lt;&gt;"",I341-J341,"")</f>
        <v/>
      </c>
      <c r="L341" s="0" t="str">
        <f aca="false">IF(AND(J341&lt;&gt;"",J341&lt;&gt;0),K341/J341,"")</f>
        <v/>
      </c>
      <c r="M341" s="0" t="str">
        <f aca="false">IF(AND(D341&lt;&gt;"",E341&lt;&gt;""),IF((DATEVALUE(E341)-DATEVALUE(D341))&gt;365,"Long Term","Short Term"),"")</f>
        <v/>
      </c>
    </row>
    <row r="342" customFormat="false" ht="15" hidden="false" customHeight="false" outlineLevel="0" collapsed="false">
      <c r="I342" s="0" t="str">
        <f aca="false">IF(F342&lt;&gt;"",F342*G342,"")</f>
        <v/>
      </c>
      <c r="J342" s="0" t="str">
        <f aca="false">IF(F342&lt;&gt;"",F342*H342,"")</f>
        <v/>
      </c>
      <c r="K342" s="0" t="str">
        <f aca="false">IF(J342&lt;&gt;"",I342-J342,"")</f>
        <v/>
      </c>
      <c r="L342" s="0" t="str">
        <f aca="false">IF(AND(J342&lt;&gt;"",J342&lt;&gt;0),K342/J342,"")</f>
        <v/>
      </c>
      <c r="M342" s="0" t="str">
        <f aca="false">IF(AND(D342&lt;&gt;"",E342&lt;&gt;""),IF((DATEVALUE(E342)-DATEVALUE(D342))&gt;365,"Long Term","Short Term"),"")</f>
        <v/>
      </c>
    </row>
    <row r="343" customFormat="false" ht="15" hidden="false" customHeight="false" outlineLevel="0" collapsed="false">
      <c r="I343" s="0" t="str">
        <f aca="false">IF(F343&lt;&gt;"",F343*G343,"")</f>
        <v/>
      </c>
      <c r="J343" s="0" t="str">
        <f aca="false">IF(F343&lt;&gt;"",F343*H343,"")</f>
        <v/>
      </c>
      <c r="K343" s="0" t="str">
        <f aca="false">IF(J343&lt;&gt;"",I343-J343,"")</f>
        <v/>
      </c>
      <c r="L343" s="0" t="str">
        <f aca="false">IF(AND(J343&lt;&gt;"",J343&lt;&gt;0),K343/J343,"")</f>
        <v/>
      </c>
      <c r="M343" s="0" t="str">
        <f aca="false">IF(AND(D343&lt;&gt;"",E343&lt;&gt;""),IF((DATEVALUE(E343)-DATEVALUE(D343))&gt;365,"Long Term","Short Term"),"")</f>
        <v/>
      </c>
    </row>
    <row r="344" customFormat="false" ht="15" hidden="false" customHeight="false" outlineLevel="0" collapsed="false">
      <c r="I344" s="0" t="str">
        <f aca="false">IF(F344&lt;&gt;"",F344*G344,"")</f>
        <v/>
      </c>
      <c r="J344" s="0" t="str">
        <f aca="false">IF(F344&lt;&gt;"",F344*H344,"")</f>
        <v/>
      </c>
      <c r="K344" s="0" t="str">
        <f aca="false">IF(J344&lt;&gt;"",I344-J344,"")</f>
        <v/>
      </c>
      <c r="L344" s="0" t="str">
        <f aca="false">IF(AND(J344&lt;&gt;"",J344&lt;&gt;0),K344/J344,"")</f>
        <v/>
      </c>
      <c r="M344" s="0" t="str">
        <f aca="false">IF(AND(D344&lt;&gt;"",E344&lt;&gt;""),IF((DATEVALUE(E344)-DATEVALUE(D344))&gt;365,"Long Term","Short Term"),"")</f>
        <v/>
      </c>
    </row>
    <row r="345" customFormat="false" ht="15" hidden="false" customHeight="false" outlineLevel="0" collapsed="false">
      <c r="I345" s="0" t="str">
        <f aca="false">IF(F345&lt;&gt;"",F345*G345,"")</f>
        <v/>
      </c>
      <c r="J345" s="0" t="str">
        <f aca="false">IF(F345&lt;&gt;"",F345*H345,"")</f>
        <v/>
      </c>
      <c r="K345" s="0" t="str">
        <f aca="false">IF(J345&lt;&gt;"",I345-J345,"")</f>
        <v/>
      </c>
      <c r="L345" s="0" t="str">
        <f aca="false">IF(AND(J345&lt;&gt;"",J345&lt;&gt;0),K345/J345,"")</f>
        <v/>
      </c>
      <c r="M345" s="0" t="str">
        <f aca="false">IF(AND(D345&lt;&gt;"",E345&lt;&gt;""),IF((DATEVALUE(E345)-DATEVALUE(D345))&gt;365,"Long Term","Short Term"),"")</f>
        <v/>
      </c>
    </row>
    <row r="346" customFormat="false" ht="15" hidden="false" customHeight="false" outlineLevel="0" collapsed="false">
      <c r="I346" s="0" t="str">
        <f aca="false">IF(F346&lt;&gt;"",F346*G346,"")</f>
        <v/>
      </c>
      <c r="J346" s="0" t="str">
        <f aca="false">IF(F346&lt;&gt;"",F346*H346,"")</f>
        <v/>
      </c>
      <c r="K346" s="0" t="str">
        <f aca="false">IF(J346&lt;&gt;"",I346-J346,"")</f>
        <v/>
      </c>
      <c r="L346" s="0" t="str">
        <f aca="false">IF(AND(J346&lt;&gt;"",J346&lt;&gt;0),K346/J346,"")</f>
        <v/>
      </c>
      <c r="M346" s="0" t="str">
        <f aca="false">IF(AND(D346&lt;&gt;"",E346&lt;&gt;""),IF((DATEVALUE(E346)-DATEVALUE(D346))&gt;365,"Long Term","Short Term"),"")</f>
        <v/>
      </c>
    </row>
    <row r="347" customFormat="false" ht="15" hidden="false" customHeight="false" outlineLevel="0" collapsed="false">
      <c r="I347" s="0" t="str">
        <f aca="false">IF(F347&lt;&gt;"",F347*G347,"")</f>
        <v/>
      </c>
      <c r="J347" s="0" t="str">
        <f aca="false">IF(F347&lt;&gt;"",F347*H347,"")</f>
        <v/>
      </c>
      <c r="K347" s="0" t="str">
        <f aca="false">IF(J347&lt;&gt;"",I347-J347,"")</f>
        <v/>
      </c>
      <c r="L347" s="0" t="str">
        <f aca="false">IF(AND(J347&lt;&gt;"",J347&lt;&gt;0),K347/J347,"")</f>
        <v/>
      </c>
      <c r="M347" s="0" t="str">
        <f aca="false">IF(AND(D347&lt;&gt;"",E347&lt;&gt;""),IF((DATEVALUE(E347)-DATEVALUE(D347))&gt;365,"Long Term","Short Term"),"")</f>
        <v/>
      </c>
    </row>
    <row r="348" customFormat="false" ht="15" hidden="false" customHeight="false" outlineLevel="0" collapsed="false">
      <c r="I348" s="0" t="str">
        <f aca="false">IF(F348&lt;&gt;"",F348*G348,"")</f>
        <v/>
      </c>
      <c r="J348" s="0" t="str">
        <f aca="false">IF(F348&lt;&gt;"",F348*H348,"")</f>
        <v/>
      </c>
      <c r="K348" s="0" t="str">
        <f aca="false">IF(J348&lt;&gt;"",I348-J348,"")</f>
        <v/>
      </c>
      <c r="L348" s="0" t="str">
        <f aca="false">IF(AND(J348&lt;&gt;"",J348&lt;&gt;0),K348/J348,"")</f>
        <v/>
      </c>
      <c r="M348" s="0" t="str">
        <f aca="false">IF(AND(D348&lt;&gt;"",E348&lt;&gt;""),IF((DATEVALUE(E348)-DATEVALUE(D348))&gt;365,"Long Term","Short Term"),"")</f>
        <v/>
      </c>
    </row>
    <row r="349" customFormat="false" ht="15" hidden="false" customHeight="false" outlineLevel="0" collapsed="false">
      <c r="I349" s="0" t="str">
        <f aca="false">IF(F349&lt;&gt;"",F349*G349,"")</f>
        <v/>
      </c>
      <c r="J349" s="0" t="str">
        <f aca="false">IF(F349&lt;&gt;"",F349*H349,"")</f>
        <v/>
      </c>
      <c r="K349" s="0" t="str">
        <f aca="false">IF(J349&lt;&gt;"",I349-J349,"")</f>
        <v/>
      </c>
      <c r="L349" s="0" t="str">
        <f aca="false">IF(AND(J349&lt;&gt;"",J349&lt;&gt;0),K349/J349,"")</f>
        <v/>
      </c>
      <c r="M349" s="0" t="str">
        <f aca="false">IF(AND(D349&lt;&gt;"",E349&lt;&gt;""),IF((DATEVALUE(E349)-DATEVALUE(D349))&gt;365,"Long Term","Short Term"),"")</f>
        <v/>
      </c>
    </row>
    <row r="350" customFormat="false" ht="15" hidden="false" customHeight="false" outlineLevel="0" collapsed="false">
      <c r="I350" s="0" t="str">
        <f aca="false">IF(F350&lt;&gt;"",F350*G350,"")</f>
        <v/>
      </c>
      <c r="J350" s="0" t="str">
        <f aca="false">IF(F350&lt;&gt;"",F350*H350,"")</f>
        <v/>
      </c>
      <c r="K350" s="0" t="str">
        <f aca="false">IF(J350&lt;&gt;"",I350-J350,"")</f>
        <v/>
      </c>
      <c r="L350" s="0" t="str">
        <f aca="false">IF(AND(J350&lt;&gt;"",J350&lt;&gt;0),K350/J350,"")</f>
        <v/>
      </c>
      <c r="M350" s="0" t="str">
        <f aca="false">IF(AND(D350&lt;&gt;"",E350&lt;&gt;""),IF((DATEVALUE(E350)-DATEVALUE(D350))&gt;365,"Long Term","Short Term"),"")</f>
        <v/>
      </c>
    </row>
    <row r="351" customFormat="false" ht="15" hidden="false" customHeight="false" outlineLevel="0" collapsed="false">
      <c r="I351" s="0" t="str">
        <f aca="false">IF(F351&lt;&gt;"",F351*G351,"")</f>
        <v/>
      </c>
      <c r="J351" s="0" t="str">
        <f aca="false">IF(F351&lt;&gt;"",F351*H351,"")</f>
        <v/>
      </c>
      <c r="K351" s="0" t="str">
        <f aca="false">IF(J351&lt;&gt;"",I351-J351,"")</f>
        <v/>
      </c>
      <c r="L351" s="0" t="str">
        <f aca="false">IF(AND(J351&lt;&gt;"",J351&lt;&gt;0),K351/J351,"")</f>
        <v/>
      </c>
      <c r="M351" s="0" t="str">
        <f aca="false">IF(AND(D351&lt;&gt;"",E351&lt;&gt;""),IF((DATEVALUE(E351)-DATEVALUE(D351))&gt;365,"Long Term","Short Term"),"")</f>
        <v/>
      </c>
    </row>
    <row r="352" customFormat="false" ht="15" hidden="false" customHeight="false" outlineLevel="0" collapsed="false">
      <c r="I352" s="0" t="str">
        <f aca="false">IF(F352&lt;&gt;"",F352*G352,"")</f>
        <v/>
      </c>
      <c r="J352" s="0" t="str">
        <f aca="false">IF(F352&lt;&gt;"",F352*H352,"")</f>
        <v/>
      </c>
      <c r="K352" s="0" t="str">
        <f aca="false">IF(J352&lt;&gt;"",I352-J352,"")</f>
        <v/>
      </c>
      <c r="L352" s="0" t="str">
        <f aca="false">IF(AND(J352&lt;&gt;"",J352&lt;&gt;0),K352/J352,"")</f>
        <v/>
      </c>
      <c r="M352" s="0" t="str">
        <f aca="false">IF(AND(D352&lt;&gt;"",E352&lt;&gt;""),IF((DATEVALUE(E352)-DATEVALUE(D352))&gt;365,"Long Term","Short Term"),"")</f>
        <v/>
      </c>
    </row>
    <row r="353" customFormat="false" ht="15" hidden="false" customHeight="false" outlineLevel="0" collapsed="false">
      <c r="I353" s="0" t="str">
        <f aca="false">IF(F353&lt;&gt;"",F353*G353,"")</f>
        <v/>
      </c>
      <c r="J353" s="0" t="str">
        <f aca="false">IF(F353&lt;&gt;"",F353*H353,"")</f>
        <v/>
      </c>
      <c r="K353" s="0" t="str">
        <f aca="false">IF(J353&lt;&gt;"",I353-J353,"")</f>
        <v/>
      </c>
      <c r="L353" s="0" t="str">
        <f aca="false">IF(AND(J353&lt;&gt;"",J353&lt;&gt;0),K353/J353,"")</f>
        <v/>
      </c>
      <c r="M353" s="0" t="str">
        <f aca="false">IF(AND(D353&lt;&gt;"",E353&lt;&gt;""),IF((DATEVALUE(E353)-DATEVALUE(D353))&gt;365,"Long Term","Short Term"),"")</f>
        <v/>
      </c>
    </row>
    <row r="354" customFormat="false" ht="15" hidden="false" customHeight="false" outlineLevel="0" collapsed="false">
      <c r="I354" s="0" t="str">
        <f aca="false">IF(F354&lt;&gt;"",F354*G354,"")</f>
        <v/>
      </c>
      <c r="J354" s="0" t="str">
        <f aca="false">IF(F354&lt;&gt;"",F354*H354,"")</f>
        <v/>
      </c>
      <c r="K354" s="0" t="str">
        <f aca="false">IF(J354&lt;&gt;"",I354-J354,"")</f>
        <v/>
      </c>
      <c r="L354" s="0" t="str">
        <f aca="false">IF(AND(J354&lt;&gt;"",J354&lt;&gt;0),K354/J354,"")</f>
        <v/>
      </c>
      <c r="M354" s="0" t="str">
        <f aca="false">IF(AND(D354&lt;&gt;"",E354&lt;&gt;""),IF((DATEVALUE(E354)-DATEVALUE(D354))&gt;365,"Long Term","Short Term"),"")</f>
        <v/>
      </c>
    </row>
    <row r="355" customFormat="false" ht="15" hidden="false" customHeight="false" outlineLevel="0" collapsed="false">
      <c r="I355" s="0" t="str">
        <f aca="false">IF(F355&lt;&gt;"",F355*G355,"")</f>
        <v/>
      </c>
      <c r="J355" s="0" t="str">
        <f aca="false">IF(F355&lt;&gt;"",F355*H355,"")</f>
        <v/>
      </c>
      <c r="K355" s="0" t="str">
        <f aca="false">IF(J355&lt;&gt;"",I355-J355,"")</f>
        <v/>
      </c>
      <c r="L355" s="0" t="str">
        <f aca="false">IF(AND(J355&lt;&gt;"",J355&lt;&gt;0),K355/J355,"")</f>
        <v/>
      </c>
      <c r="M355" s="0" t="str">
        <f aca="false">IF(AND(D355&lt;&gt;"",E355&lt;&gt;""),IF((DATEVALUE(E355)-DATEVALUE(D355))&gt;365,"Long Term","Short Term"),"")</f>
        <v/>
      </c>
    </row>
    <row r="356" customFormat="false" ht="15" hidden="false" customHeight="false" outlineLevel="0" collapsed="false">
      <c r="I356" s="0" t="str">
        <f aca="false">IF(F356&lt;&gt;"",F356*G356,"")</f>
        <v/>
      </c>
      <c r="J356" s="0" t="str">
        <f aca="false">IF(F356&lt;&gt;"",F356*H356,"")</f>
        <v/>
      </c>
      <c r="K356" s="0" t="str">
        <f aca="false">IF(J356&lt;&gt;"",I356-J356,"")</f>
        <v/>
      </c>
      <c r="L356" s="0" t="str">
        <f aca="false">IF(AND(J356&lt;&gt;"",J356&lt;&gt;0),K356/J356,"")</f>
        <v/>
      </c>
      <c r="M356" s="0" t="str">
        <f aca="false">IF(AND(D356&lt;&gt;"",E356&lt;&gt;""),IF((DATEVALUE(E356)-DATEVALUE(D356))&gt;365,"Long Term","Short Term"),"")</f>
        <v/>
      </c>
    </row>
    <row r="357" customFormat="false" ht="15" hidden="false" customHeight="false" outlineLevel="0" collapsed="false">
      <c r="I357" s="0" t="str">
        <f aca="false">IF(F357&lt;&gt;"",F357*G357,"")</f>
        <v/>
      </c>
      <c r="J357" s="0" t="str">
        <f aca="false">IF(F357&lt;&gt;"",F357*H357,"")</f>
        <v/>
      </c>
      <c r="K357" s="0" t="str">
        <f aca="false">IF(J357&lt;&gt;"",I357-J357,"")</f>
        <v/>
      </c>
      <c r="L357" s="0" t="str">
        <f aca="false">IF(AND(J357&lt;&gt;"",J357&lt;&gt;0),K357/J357,"")</f>
        <v/>
      </c>
      <c r="M357" s="0" t="str">
        <f aca="false">IF(AND(D357&lt;&gt;"",E357&lt;&gt;""),IF((DATEVALUE(E357)-DATEVALUE(D357))&gt;365,"Long Term","Short Term"),"")</f>
        <v/>
      </c>
    </row>
    <row r="358" customFormat="false" ht="15" hidden="false" customHeight="false" outlineLevel="0" collapsed="false">
      <c r="I358" s="0" t="str">
        <f aca="false">IF(F358&lt;&gt;"",F358*G358,"")</f>
        <v/>
      </c>
      <c r="J358" s="0" t="str">
        <f aca="false">IF(F358&lt;&gt;"",F358*H358,"")</f>
        <v/>
      </c>
      <c r="K358" s="0" t="str">
        <f aca="false">IF(J358&lt;&gt;"",I358-J358,"")</f>
        <v/>
      </c>
      <c r="L358" s="0" t="str">
        <f aca="false">IF(AND(J358&lt;&gt;"",J358&lt;&gt;0),K358/J358,"")</f>
        <v/>
      </c>
      <c r="M358" s="0" t="str">
        <f aca="false">IF(AND(D358&lt;&gt;"",E358&lt;&gt;""),IF((DATEVALUE(E358)-DATEVALUE(D358))&gt;365,"Long Term","Short Term"),"")</f>
        <v/>
      </c>
    </row>
    <row r="359" customFormat="false" ht="15" hidden="false" customHeight="false" outlineLevel="0" collapsed="false">
      <c r="I359" s="0" t="str">
        <f aca="false">IF(F359&lt;&gt;"",F359*G359,"")</f>
        <v/>
      </c>
      <c r="J359" s="0" t="str">
        <f aca="false">IF(F359&lt;&gt;"",F359*H359,"")</f>
        <v/>
      </c>
      <c r="K359" s="0" t="str">
        <f aca="false">IF(J359&lt;&gt;"",I359-J359,"")</f>
        <v/>
      </c>
      <c r="L359" s="0" t="str">
        <f aca="false">IF(AND(J359&lt;&gt;"",J359&lt;&gt;0),K359/J359,"")</f>
        <v/>
      </c>
      <c r="M359" s="0" t="str">
        <f aca="false">IF(AND(D359&lt;&gt;"",E359&lt;&gt;""),IF((DATEVALUE(E359)-DATEVALUE(D359))&gt;365,"Long Term","Short Term"),"")</f>
        <v/>
      </c>
    </row>
    <row r="360" customFormat="false" ht="15" hidden="false" customHeight="false" outlineLevel="0" collapsed="false">
      <c r="I360" s="0" t="str">
        <f aca="false">IF(F360&lt;&gt;"",F360*G360,"")</f>
        <v/>
      </c>
      <c r="J360" s="0" t="str">
        <f aca="false">IF(F360&lt;&gt;"",F360*H360,"")</f>
        <v/>
      </c>
      <c r="K360" s="0" t="str">
        <f aca="false">IF(J360&lt;&gt;"",I360-J360,"")</f>
        <v/>
      </c>
      <c r="L360" s="0" t="str">
        <f aca="false">IF(AND(J360&lt;&gt;"",J360&lt;&gt;0),K360/J360,"")</f>
        <v/>
      </c>
      <c r="M360" s="0" t="str">
        <f aca="false">IF(AND(D360&lt;&gt;"",E360&lt;&gt;""),IF((DATEVALUE(E360)-DATEVALUE(D360))&gt;365,"Long Term","Short Term"),"")</f>
        <v/>
      </c>
    </row>
    <row r="361" customFormat="false" ht="15" hidden="false" customHeight="false" outlineLevel="0" collapsed="false">
      <c r="I361" s="0" t="str">
        <f aca="false">IF(F361&lt;&gt;"",F361*G361,"")</f>
        <v/>
      </c>
      <c r="J361" s="0" t="str">
        <f aca="false">IF(F361&lt;&gt;"",F361*H361,"")</f>
        <v/>
      </c>
      <c r="K361" s="0" t="str">
        <f aca="false">IF(J361&lt;&gt;"",I361-J361,"")</f>
        <v/>
      </c>
      <c r="L361" s="0" t="str">
        <f aca="false">IF(AND(J361&lt;&gt;"",J361&lt;&gt;0),K361/J361,"")</f>
        <v/>
      </c>
      <c r="M361" s="0" t="str">
        <f aca="false">IF(AND(D361&lt;&gt;"",E361&lt;&gt;""),IF((DATEVALUE(E361)-DATEVALUE(D361))&gt;365,"Long Term","Short Term"),"")</f>
        <v/>
      </c>
    </row>
    <row r="362" customFormat="false" ht="15" hidden="false" customHeight="false" outlineLevel="0" collapsed="false">
      <c r="I362" s="0" t="str">
        <f aca="false">IF(F362&lt;&gt;"",F362*G362,"")</f>
        <v/>
      </c>
      <c r="J362" s="0" t="str">
        <f aca="false">IF(F362&lt;&gt;"",F362*H362,"")</f>
        <v/>
      </c>
      <c r="K362" s="0" t="str">
        <f aca="false">IF(J362&lt;&gt;"",I362-J362,"")</f>
        <v/>
      </c>
      <c r="L362" s="0" t="str">
        <f aca="false">IF(AND(J362&lt;&gt;"",J362&lt;&gt;0),K362/J362,"")</f>
        <v/>
      </c>
      <c r="M362" s="0" t="str">
        <f aca="false">IF(AND(D362&lt;&gt;"",E362&lt;&gt;""),IF((DATEVALUE(E362)-DATEVALUE(D362))&gt;365,"Long Term","Short Term"),"")</f>
        <v/>
      </c>
    </row>
    <row r="363" customFormat="false" ht="15" hidden="false" customHeight="false" outlineLevel="0" collapsed="false">
      <c r="I363" s="0" t="str">
        <f aca="false">IF(F363&lt;&gt;"",F363*G363,"")</f>
        <v/>
      </c>
      <c r="J363" s="0" t="str">
        <f aca="false">IF(F363&lt;&gt;"",F363*H363,"")</f>
        <v/>
      </c>
      <c r="K363" s="0" t="str">
        <f aca="false">IF(J363&lt;&gt;"",I363-J363,"")</f>
        <v/>
      </c>
      <c r="L363" s="0" t="str">
        <f aca="false">IF(AND(J363&lt;&gt;"",J363&lt;&gt;0),K363/J363,"")</f>
        <v/>
      </c>
      <c r="M363" s="0" t="str">
        <f aca="false">IF(AND(D363&lt;&gt;"",E363&lt;&gt;""),IF((DATEVALUE(E363)-DATEVALUE(D363))&gt;365,"Long Term","Short Term"),"")</f>
        <v/>
      </c>
    </row>
    <row r="364" customFormat="false" ht="15" hidden="false" customHeight="false" outlineLevel="0" collapsed="false">
      <c r="I364" s="0" t="str">
        <f aca="false">IF(F364&lt;&gt;"",F364*G364,"")</f>
        <v/>
      </c>
      <c r="J364" s="0" t="str">
        <f aca="false">IF(F364&lt;&gt;"",F364*H364,"")</f>
        <v/>
      </c>
      <c r="K364" s="0" t="str">
        <f aca="false">IF(J364&lt;&gt;"",I364-J364,"")</f>
        <v/>
      </c>
      <c r="L364" s="0" t="str">
        <f aca="false">IF(AND(J364&lt;&gt;"",J364&lt;&gt;0),K364/J364,"")</f>
        <v/>
      </c>
      <c r="M364" s="0" t="str">
        <f aca="false">IF(AND(D364&lt;&gt;"",E364&lt;&gt;""),IF((DATEVALUE(E364)-DATEVALUE(D364))&gt;365,"Long Term","Short Term"),"")</f>
        <v/>
      </c>
    </row>
    <row r="365" customFormat="false" ht="15" hidden="false" customHeight="false" outlineLevel="0" collapsed="false">
      <c r="I365" s="0" t="str">
        <f aca="false">IF(F365&lt;&gt;"",F365*G365,"")</f>
        <v/>
      </c>
      <c r="J365" s="0" t="str">
        <f aca="false">IF(F365&lt;&gt;"",F365*H365,"")</f>
        <v/>
      </c>
      <c r="K365" s="0" t="str">
        <f aca="false">IF(J365&lt;&gt;"",I365-J365,"")</f>
        <v/>
      </c>
      <c r="L365" s="0" t="str">
        <f aca="false">IF(AND(J365&lt;&gt;"",J365&lt;&gt;0),K365/J365,"")</f>
        <v/>
      </c>
      <c r="M365" s="0" t="str">
        <f aca="false">IF(AND(D365&lt;&gt;"",E365&lt;&gt;""),IF((DATEVALUE(E365)-DATEVALUE(D365))&gt;365,"Long Term","Short Term"),"")</f>
        <v/>
      </c>
    </row>
    <row r="366" customFormat="false" ht="15" hidden="false" customHeight="false" outlineLevel="0" collapsed="false">
      <c r="I366" s="0" t="str">
        <f aca="false">IF(F366&lt;&gt;"",F366*G366,"")</f>
        <v/>
      </c>
      <c r="J366" s="0" t="str">
        <f aca="false">IF(F366&lt;&gt;"",F366*H366,"")</f>
        <v/>
      </c>
      <c r="K366" s="0" t="str">
        <f aca="false">IF(J366&lt;&gt;"",I366-J366,"")</f>
        <v/>
      </c>
      <c r="L366" s="0" t="str">
        <f aca="false">IF(AND(J366&lt;&gt;"",J366&lt;&gt;0),K366/J366,"")</f>
        <v/>
      </c>
      <c r="M366" s="0" t="str">
        <f aca="false">IF(AND(D366&lt;&gt;"",E366&lt;&gt;""),IF((DATEVALUE(E366)-DATEVALUE(D366))&gt;365,"Long Term","Short Term"),"")</f>
        <v/>
      </c>
    </row>
    <row r="367" customFormat="false" ht="15" hidden="false" customHeight="false" outlineLevel="0" collapsed="false">
      <c r="I367" s="0" t="str">
        <f aca="false">IF(F367&lt;&gt;"",F367*G367,"")</f>
        <v/>
      </c>
      <c r="J367" s="0" t="str">
        <f aca="false">IF(F367&lt;&gt;"",F367*H367,"")</f>
        <v/>
      </c>
      <c r="K367" s="0" t="str">
        <f aca="false">IF(J367&lt;&gt;"",I367-J367,"")</f>
        <v/>
      </c>
      <c r="L367" s="0" t="str">
        <f aca="false">IF(AND(J367&lt;&gt;"",J367&lt;&gt;0),K367/J367,"")</f>
        <v/>
      </c>
      <c r="M367" s="0" t="str">
        <f aca="false">IF(AND(D367&lt;&gt;"",E367&lt;&gt;""),IF((DATEVALUE(E367)-DATEVALUE(D367))&gt;365,"Long Term","Short Term"),"")</f>
        <v/>
      </c>
    </row>
    <row r="368" customFormat="false" ht="15" hidden="false" customHeight="false" outlineLevel="0" collapsed="false">
      <c r="I368" s="0" t="str">
        <f aca="false">IF(F368&lt;&gt;"",F368*G368,"")</f>
        <v/>
      </c>
      <c r="J368" s="0" t="str">
        <f aca="false">IF(F368&lt;&gt;"",F368*H368,"")</f>
        <v/>
      </c>
      <c r="K368" s="0" t="str">
        <f aca="false">IF(J368&lt;&gt;"",I368-J368,"")</f>
        <v/>
      </c>
      <c r="L368" s="0" t="str">
        <f aca="false">IF(AND(J368&lt;&gt;"",J368&lt;&gt;0),K368/J368,"")</f>
        <v/>
      </c>
      <c r="M368" s="0" t="str">
        <f aca="false">IF(AND(D368&lt;&gt;"",E368&lt;&gt;""),IF((DATEVALUE(E368)-DATEVALUE(D368))&gt;365,"Long Term","Short Term"),"")</f>
        <v/>
      </c>
    </row>
    <row r="369" customFormat="false" ht="15" hidden="false" customHeight="false" outlineLevel="0" collapsed="false">
      <c r="I369" s="0" t="str">
        <f aca="false">IF(F369&lt;&gt;"",F369*G369,"")</f>
        <v/>
      </c>
      <c r="J369" s="0" t="str">
        <f aca="false">IF(F369&lt;&gt;"",F369*H369,"")</f>
        <v/>
      </c>
      <c r="K369" s="0" t="str">
        <f aca="false">IF(J369&lt;&gt;"",I369-J369,"")</f>
        <v/>
      </c>
      <c r="L369" s="0" t="str">
        <f aca="false">IF(AND(J369&lt;&gt;"",J369&lt;&gt;0),K369/J369,"")</f>
        <v/>
      </c>
      <c r="M369" s="0" t="str">
        <f aca="false">IF(AND(D369&lt;&gt;"",E369&lt;&gt;""),IF((DATEVALUE(E369)-DATEVALUE(D369))&gt;365,"Long Term","Short Term"),"")</f>
        <v/>
      </c>
    </row>
    <row r="370" customFormat="false" ht="15" hidden="false" customHeight="false" outlineLevel="0" collapsed="false">
      <c r="I370" s="0" t="str">
        <f aca="false">IF(F370&lt;&gt;"",F370*G370,"")</f>
        <v/>
      </c>
      <c r="J370" s="0" t="str">
        <f aca="false">IF(F370&lt;&gt;"",F370*H370,"")</f>
        <v/>
      </c>
      <c r="K370" s="0" t="str">
        <f aca="false">IF(J370&lt;&gt;"",I370-J370,"")</f>
        <v/>
      </c>
      <c r="L370" s="0" t="str">
        <f aca="false">IF(AND(J370&lt;&gt;"",J370&lt;&gt;0),K370/J370,"")</f>
        <v/>
      </c>
      <c r="M370" s="0" t="str">
        <f aca="false">IF(AND(D370&lt;&gt;"",E370&lt;&gt;""),IF((DATEVALUE(E370)-DATEVALUE(D370))&gt;365,"Long Term","Short Term"),"")</f>
        <v/>
      </c>
    </row>
    <row r="371" customFormat="false" ht="15" hidden="false" customHeight="false" outlineLevel="0" collapsed="false">
      <c r="I371" s="0" t="str">
        <f aca="false">IF(F371&lt;&gt;"",F371*G371,"")</f>
        <v/>
      </c>
      <c r="J371" s="0" t="str">
        <f aca="false">IF(F371&lt;&gt;"",F371*H371,"")</f>
        <v/>
      </c>
      <c r="K371" s="0" t="str">
        <f aca="false">IF(J371&lt;&gt;"",I371-J371,"")</f>
        <v/>
      </c>
      <c r="L371" s="0" t="str">
        <f aca="false">IF(AND(J371&lt;&gt;"",J371&lt;&gt;0),K371/J371,"")</f>
        <v/>
      </c>
      <c r="M371" s="0" t="str">
        <f aca="false">IF(AND(D371&lt;&gt;"",E371&lt;&gt;""),IF((DATEVALUE(E371)-DATEVALUE(D371))&gt;365,"Long Term","Short Term"),"")</f>
        <v/>
      </c>
    </row>
    <row r="372" customFormat="false" ht="15" hidden="false" customHeight="false" outlineLevel="0" collapsed="false">
      <c r="I372" s="0" t="str">
        <f aca="false">IF(F372&lt;&gt;"",F372*G372,"")</f>
        <v/>
      </c>
      <c r="J372" s="0" t="str">
        <f aca="false">IF(F372&lt;&gt;"",F372*H372,"")</f>
        <v/>
      </c>
      <c r="K372" s="0" t="str">
        <f aca="false">IF(J372&lt;&gt;"",I372-J372,"")</f>
        <v/>
      </c>
      <c r="L372" s="0" t="str">
        <f aca="false">IF(AND(J372&lt;&gt;"",J372&lt;&gt;0),K372/J372,"")</f>
        <v/>
      </c>
      <c r="M372" s="0" t="str">
        <f aca="false">IF(AND(D372&lt;&gt;"",E372&lt;&gt;""),IF((DATEVALUE(E372)-DATEVALUE(D372))&gt;365,"Long Term","Short Term"),"")</f>
        <v/>
      </c>
    </row>
    <row r="373" customFormat="false" ht="15" hidden="false" customHeight="false" outlineLevel="0" collapsed="false">
      <c r="I373" s="0" t="str">
        <f aca="false">IF(F373&lt;&gt;"",F373*G373,"")</f>
        <v/>
      </c>
      <c r="J373" s="0" t="str">
        <f aca="false">IF(F373&lt;&gt;"",F373*H373,"")</f>
        <v/>
      </c>
      <c r="K373" s="0" t="str">
        <f aca="false">IF(J373&lt;&gt;"",I373-J373,"")</f>
        <v/>
      </c>
      <c r="L373" s="0" t="str">
        <f aca="false">IF(AND(J373&lt;&gt;"",J373&lt;&gt;0),K373/J373,"")</f>
        <v/>
      </c>
      <c r="M373" s="0" t="str">
        <f aca="false">IF(AND(D373&lt;&gt;"",E373&lt;&gt;""),IF((DATEVALUE(E373)-DATEVALUE(D373))&gt;365,"Long Term","Short Term"),"")</f>
        <v/>
      </c>
    </row>
    <row r="374" customFormat="false" ht="15" hidden="false" customHeight="false" outlineLevel="0" collapsed="false">
      <c r="I374" s="0" t="str">
        <f aca="false">IF(F374&lt;&gt;"",F374*G374,"")</f>
        <v/>
      </c>
      <c r="J374" s="0" t="str">
        <f aca="false">IF(F374&lt;&gt;"",F374*H374,"")</f>
        <v/>
      </c>
      <c r="K374" s="0" t="str">
        <f aca="false">IF(J374&lt;&gt;"",I374-J374,"")</f>
        <v/>
      </c>
      <c r="L374" s="0" t="str">
        <f aca="false">IF(AND(J374&lt;&gt;"",J374&lt;&gt;0),K374/J374,"")</f>
        <v/>
      </c>
      <c r="M374" s="0" t="str">
        <f aca="false">IF(AND(D374&lt;&gt;"",E374&lt;&gt;""),IF((DATEVALUE(E374)-DATEVALUE(D374))&gt;365,"Long Term","Short Term"),"")</f>
        <v/>
      </c>
    </row>
    <row r="375" customFormat="false" ht="15" hidden="false" customHeight="false" outlineLevel="0" collapsed="false">
      <c r="I375" s="0" t="str">
        <f aca="false">IF(F375&lt;&gt;"",F375*G375,"")</f>
        <v/>
      </c>
      <c r="J375" s="0" t="str">
        <f aca="false">IF(F375&lt;&gt;"",F375*H375,"")</f>
        <v/>
      </c>
      <c r="K375" s="0" t="str">
        <f aca="false">IF(J375&lt;&gt;"",I375-J375,"")</f>
        <v/>
      </c>
      <c r="L375" s="0" t="str">
        <f aca="false">IF(AND(J375&lt;&gt;"",J375&lt;&gt;0),K375/J375,"")</f>
        <v/>
      </c>
      <c r="M375" s="0" t="str">
        <f aca="false">IF(AND(D375&lt;&gt;"",E375&lt;&gt;""),IF((DATEVALUE(E375)-DATEVALUE(D375))&gt;365,"Long Term","Short Term"),"")</f>
        <v/>
      </c>
    </row>
    <row r="376" customFormat="false" ht="15" hidden="false" customHeight="false" outlineLevel="0" collapsed="false">
      <c r="I376" s="0" t="str">
        <f aca="false">IF(F376&lt;&gt;"",F376*G376,"")</f>
        <v/>
      </c>
      <c r="J376" s="0" t="str">
        <f aca="false">IF(F376&lt;&gt;"",F376*H376,"")</f>
        <v/>
      </c>
      <c r="K376" s="0" t="str">
        <f aca="false">IF(J376&lt;&gt;"",I376-J376,"")</f>
        <v/>
      </c>
      <c r="L376" s="0" t="str">
        <f aca="false">IF(AND(J376&lt;&gt;"",J376&lt;&gt;0),K376/J376,"")</f>
        <v/>
      </c>
      <c r="M376" s="0" t="str">
        <f aca="false">IF(AND(D376&lt;&gt;"",E376&lt;&gt;""),IF((DATEVALUE(E376)-DATEVALUE(D376))&gt;365,"Long Term","Short Term"),"")</f>
        <v/>
      </c>
    </row>
    <row r="377" customFormat="false" ht="15" hidden="false" customHeight="false" outlineLevel="0" collapsed="false">
      <c r="I377" s="0" t="str">
        <f aca="false">IF(F377&lt;&gt;"",F377*G377,"")</f>
        <v/>
      </c>
      <c r="J377" s="0" t="str">
        <f aca="false">IF(F377&lt;&gt;"",F377*H377,"")</f>
        <v/>
      </c>
      <c r="K377" s="0" t="str">
        <f aca="false">IF(J377&lt;&gt;"",I377-J377,"")</f>
        <v/>
      </c>
      <c r="L377" s="0" t="str">
        <f aca="false">IF(AND(J377&lt;&gt;"",J377&lt;&gt;0),K377/J377,"")</f>
        <v/>
      </c>
      <c r="M377" s="0" t="str">
        <f aca="false">IF(AND(D377&lt;&gt;"",E377&lt;&gt;""),IF((DATEVALUE(E377)-DATEVALUE(D377))&gt;365,"Long Term","Short Term"),"")</f>
        <v/>
      </c>
    </row>
    <row r="378" customFormat="false" ht="15" hidden="false" customHeight="false" outlineLevel="0" collapsed="false">
      <c r="I378" s="0" t="str">
        <f aca="false">IF(F378&lt;&gt;"",F378*G378,"")</f>
        <v/>
      </c>
      <c r="J378" s="0" t="str">
        <f aca="false">IF(F378&lt;&gt;"",F378*H378,"")</f>
        <v/>
      </c>
      <c r="K378" s="0" t="str">
        <f aca="false">IF(J378&lt;&gt;"",I378-J378,"")</f>
        <v/>
      </c>
      <c r="L378" s="0" t="str">
        <f aca="false">IF(AND(J378&lt;&gt;"",J378&lt;&gt;0),K378/J378,"")</f>
        <v/>
      </c>
      <c r="M378" s="0" t="str">
        <f aca="false">IF(AND(D378&lt;&gt;"",E378&lt;&gt;""),IF((DATEVALUE(E378)-DATEVALUE(D378))&gt;365,"Long Term","Short Term"),"")</f>
        <v/>
      </c>
    </row>
    <row r="379" customFormat="false" ht="15" hidden="false" customHeight="false" outlineLevel="0" collapsed="false">
      <c r="I379" s="0" t="str">
        <f aca="false">IF(F379&lt;&gt;"",F379*G379,"")</f>
        <v/>
      </c>
      <c r="J379" s="0" t="str">
        <f aca="false">IF(F379&lt;&gt;"",F379*H379,"")</f>
        <v/>
      </c>
      <c r="K379" s="0" t="str">
        <f aca="false">IF(J379&lt;&gt;"",I379-J379,"")</f>
        <v/>
      </c>
      <c r="L379" s="0" t="str">
        <f aca="false">IF(AND(J379&lt;&gt;"",J379&lt;&gt;0),K379/J379,"")</f>
        <v/>
      </c>
      <c r="M379" s="0" t="str">
        <f aca="false">IF(AND(D379&lt;&gt;"",E379&lt;&gt;""),IF((DATEVALUE(E379)-DATEVALUE(D379))&gt;365,"Long Term","Short Term"),"")</f>
        <v/>
      </c>
    </row>
    <row r="380" customFormat="false" ht="15" hidden="false" customHeight="false" outlineLevel="0" collapsed="false">
      <c r="I380" s="0" t="str">
        <f aca="false">IF(F380&lt;&gt;"",F380*G380,"")</f>
        <v/>
      </c>
      <c r="J380" s="0" t="str">
        <f aca="false">IF(F380&lt;&gt;"",F380*H380,"")</f>
        <v/>
      </c>
      <c r="K380" s="0" t="str">
        <f aca="false">IF(J380&lt;&gt;"",I380-J380,"")</f>
        <v/>
      </c>
      <c r="L380" s="0" t="str">
        <f aca="false">IF(AND(J380&lt;&gt;"",J380&lt;&gt;0),K380/J380,"")</f>
        <v/>
      </c>
      <c r="M380" s="0" t="str">
        <f aca="false">IF(AND(D380&lt;&gt;"",E380&lt;&gt;""),IF((DATEVALUE(E380)-DATEVALUE(D380))&gt;365,"Long Term","Short Term"),"")</f>
        <v/>
      </c>
    </row>
    <row r="381" customFormat="false" ht="15" hidden="false" customHeight="false" outlineLevel="0" collapsed="false">
      <c r="I381" s="0" t="str">
        <f aca="false">IF(F381&lt;&gt;"",F381*G381,"")</f>
        <v/>
      </c>
      <c r="J381" s="0" t="str">
        <f aca="false">IF(F381&lt;&gt;"",F381*H381,"")</f>
        <v/>
      </c>
      <c r="K381" s="0" t="str">
        <f aca="false">IF(J381&lt;&gt;"",I381-J381,"")</f>
        <v/>
      </c>
      <c r="L381" s="0" t="str">
        <f aca="false">IF(AND(J381&lt;&gt;"",J381&lt;&gt;0),K381/J381,"")</f>
        <v/>
      </c>
      <c r="M381" s="0" t="str">
        <f aca="false">IF(AND(D381&lt;&gt;"",E381&lt;&gt;""),IF((DATEVALUE(E381)-DATEVALUE(D381))&gt;365,"Long Term","Short Term"),"")</f>
        <v/>
      </c>
    </row>
    <row r="382" customFormat="false" ht="15" hidden="false" customHeight="false" outlineLevel="0" collapsed="false">
      <c r="I382" s="0" t="str">
        <f aca="false">IF(F382&lt;&gt;"",F382*G382,"")</f>
        <v/>
      </c>
      <c r="J382" s="0" t="str">
        <f aca="false">IF(F382&lt;&gt;"",F382*H382,"")</f>
        <v/>
      </c>
      <c r="K382" s="0" t="str">
        <f aca="false">IF(J382&lt;&gt;"",I382-J382,"")</f>
        <v/>
      </c>
      <c r="L382" s="0" t="str">
        <f aca="false">IF(AND(J382&lt;&gt;"",J382&lt;&gt;0),K382/J382,"")</f>
        <v/>
      </c>
      <c r="M382" s="0" t="str">
        <f aca="false">IF(AND(D382&lt;&gt;"",E382&lt;&gt;""),IF((DATEVALUE(E382)-DATEVALUE(D382))&gt;365,"Long Term","Short Term"),"")</f>
        <v/>
      </c>
    </row>
    <row r="383" customFormat="false" ht="15" hidden="false" customHeight="false" outlineLevel="0" collapsed="false">
      <c r="I383" s="0" t="str">
        <f aca="false">IF(F383&lt;&gt;"",F383*G383,"")</f>
        <v/>
      </c>
      <c r="J383" s="0" t="str">
        <f aca="false">IF(F383&lt;&gt;"",F383*H383,"")</f>
        <v/>
      </c>
      <c r="K383" s="0" t="str">
        <f aca="false">IF(J383&lt;&gt;"",I383-J383,"")</f>
        <v/>
      </c>
      <c r="L383" s="0" t="str">
        <f aca="false">IF(AND(J383&lt;&gt;"",J383&lt;&gt;0),K383/J383,"")</f>
        <v/>
      </c>
      <c r="M383" s="0" t="str">
        <f aca="false">IF(AND(D383&lt;&gt;"",E383&lt;&gt;""),IF((DATEVALUE(E383)-DATEVALUE(D383))&gt;365,"Long Term","Short Term"),"")</f>
        <v/>
      </c>
    </row>
    <row r="384" customFormat="false" ht="15" hidden="false" customHeight="false" outlineLevel="0" collapsed="false">
      <c r="I384" s="0" t="str">
        <f aca="false">IF(F384&lt;&gt;"",F384*G384,"")</f>
        <v/>
      </c>
      <c r="J384" s="0" t="str">
        <f aca="false">IF(F384&lt;&gt;"",F384*H384,"")</f>
        <v/>
      </c>
      <c r="K384" s="0" t="str">
        <f aca="false">IF(J384&lt;&gt;"",I384-J384,"")</f>
        <v/>
      </c>
      <c r="L384" s="0" t="str">
        <f aca="false">IF(AND(J384&lt;&gt;"",J384&lt;&gt;0),K384/J384,"")</f>
        <v/>
      </c>
      <c r="M384" s="0" t="str">
        <f aca="false">IF(AND(D384&lt;&gt;"",E384&lt;&gt;""),IF((DATEVALUE(E384)-DATEVALUE(D384))&gt;365,"Long Term","Short Term"),"")</f>
        <v/>
      </c>
    </row>
    <row r="385" customFormat="false" ht="15" hidden="false" customHeight="false" outlineLevel="0" collapsed="false">
      <c r="I385" s="0" t="str">
        <f aca="false">IF(F385&lt;&gt;"",F385*G385,"")</f>
        <v/>
      </c>
      <c r="J385" s="0" t="str">
        <f aca="false">IF(F385&lt;&gt;"",F385*H385,"")</f>
        <v/>
      </c>
      <c r="K385" s="0" t="str">
        <f aca="false">IF(J385&lt;&gt;"",I385-J385,"")</f>
        <v/>
      </c>
      <c r="L385" s="0" t="str">
        <f aca="false">IF(AND(J385&lt;&gt;"",J385&lt;&gt;0),K385/J385,"")</f>
        <v/>
      </c>
      <c r="M385" s="0" t="str">
        <f aca="false">IF(AND(D385&lt;&gt;"",E385&lt;&gt;""),IF((DATEVALUE(E385)-DATEVALUE(D385))&gt;365,"Long Term","Short Term"),"")</f>
        <v/>
      </c>
    </row>
    <row r="386" customFormat="false" ht="15" hidden="false" customHeight="false" outlineLevel="0" collapsed="false">
      <c r="I386" s="0" t="str">
        <f aca="false">IF(F386&lt;&gt;"",F386*G386,"")</f>
        <v/>
      </c>
      <c r="J386" s="0" t="str">
        <f aca="false">IF(F386&lt;&gt;"",F386*H386,"")</f>
        <v/>
      </c>
      <c r="K386" s="0" t="str">
        <f aca="false">IF(J386&lt;&gt;"",I386-J386,"")</f>
        <v/>
      </c>
      <c r="L386" s="0" t="str">
        <f aca="false">IF(AND(J386&lt;&gt;"",J386&lt;&gt;0),K386/J386,"")</f>
        <v/>
      </c>
      <c r="M386" s="0" t="str">
        <f aca="false">IF(AND(D386&lt;&gt;"",E386&lt;&gt;""),IF((DATEVALUE(E386)-DATEVALUE(D386))&gt;365,"Long Term","Short Term"),"")</f>
        <v/>
      </c>
    </row>
    <row r="387" customFormat="false" ht="15" hidden="false" customHeight="false" outlineLevel="0" collapsed="false">
      <c r="I387" s="0" t="str">
        <f aca="false">IF(F387&lt;&gt;"",F387*G387,"")</f>
        <v/>
      </c>
      <c r="J387" s="0" t="str">
        <f aca="false">IF(F387&lt;&gt;"",F387*H387,"")</f>
        <v/>
      </c>
      <c r="K387" s="0" t="str">
        <f aca="false">IF(J387&lt;&gt;"",I387-J387,"")</f>
        <v/>
      </c>
      <c r="L387" s="0" t="str">
        <f aca="false">IF(AND(J387&lt;&gt;"",J387&lt;&gt;0),K387/J387,"")</f>
        <v/>
      </c>
      <c r="M387" s="0" t="str">
        <f aca="false">IF(AND(D387&lt;&gt;"",E387&lt;&gt;""),IF((DATEVALUE(E387)-DATEVALUE(D387))&gt;365,"Long Term","Short Term"),"")</f>
        <v/>
      </c>
    </row>
    <row r="388" customFormat="false" ht="15" hidden="false" customHeight="false" outlineLevel="0" collapsed="false">
      <c r="I388" s="0" t="str">
        <f aca="false">IF(F388&lt;&gt;"",F388*G388,"")</f>
        <v/>
      </c>
      <c r="J388" s="0" t="str">
        <f aca="false">IF(F388&lt;&gt;"",F388*H388,"")</f>
        <v/>
      </c>
      <c r="K388" s="0" t="str">
        <f aca="false">IF(J388&lt;&gt;"",I388-J388,"")</f>
        <v/>
      </c>
      <c r="L388" s="0" t="str">
        <f aca="false">IF(AND(J388&lt;&gt;"",J388&lt;&gt;0),K388/J388,"")</f>
        <v/>
      </c>
      <c r="M388" s="0" t="str">
        <f aca="false">IF(AND(D388&lt;&gt;"",E388&lt;&gt;""),IF((DATEVALUE(E388)-DATEVALUE(D388))&gt;365,"Long Term","Short Term"),"")</f>
        <v/>
      </c>
    </row>
    <row r="389" customFormat="false" ht="15" hidden="false" customHeight="false" outlineLevel="0" collapsed="false">
      <c r="I389" s="0" t="str">
        <f aca="false">IF(F389&lt;&gt;"",F389*G389,"")</f>
        <v/>
      </c>
      <c r="J389" s="0" t="str">
        <f aca="false">IF(F389&lt;&gt;"",F389*H389,"")</f>
        <v/>
      </c>
      <c r="K389" s="0" t="str">
        <f aca="false">IF(J389&lt;&gt;"",I389-J389,"")</f>
        <v/>
      </c>
      <c r="L389" s="0" t="str">
        <f aca="false">IF(AND(J389&lt;&gt;"",J389&lt;&gt;0),K389/J389,"")</f>
        <v/>
      </c>
      <c r="M389" s="0" t="str">
        <f aca="false">IF(AND(D389&lt;&gt;"",E389&lt;&gt;""),IF((DATEVALUE(E389)-DATEVALUE(D389))&gt;365,"Long Term","Short Term"),"")</f>
        <v/>
      </c>
    </row>
    <row r="390" customFormat="false" ht="15" hidden="false" customHeight="false" outlineLevel="0" collapsed="false">
      <c r="I390" s="0" t="str">
        <f aca="false">IF(F390&lt;&gt;"",F390*G390,"")</f>
        <v/>
      </c>
      <c r="J390" s="0" t="str">
        <f aca="false">IF(F390&lt;&gt;"",F390*H390,"")</f>
        <v/>
      </c>
      <c r="K390" s="0" t="str">
        <f aca="false">IF(J390&lt;&gt;"",I390-J390,"")</f>
        <v/>
      </c>
      <c r="L390" s="0" t="str">
        <f aca="false">IF(AND(J390&lt;&gt;"",J390&lt;&gt;0),K390/J390,"")</f>
        <v/>
      </c>
      <c r="M390" s="0" t="str">
        <f aca="false">IF(AND(D390&lt;&gt;"",E390&lt;&gt;""),IF((DATEVALUE(E390)-DATEVALUE(D390))&gt;365,"Long Term","Short Term"),"")</f>
        <v/>
      </c>
    </row>
    <row r="391" customFormat="false" ht="15" hidden="false" customHeight="false" outlineLevel="0" collapsed="false">
      <c r="I391" s="0" t="str">
        <f aca="false">IF(F391&lt;&gt;"",F391*G391,"")</f>
        <v/>
      </c>
      <c r="J391" s="0" t="str">
        <f aca="false">IF(F391&lt;&gt;"",F391*H391,"")</f>
        <v/>
      </c>
      <c r="K391" s="0" t="str">
        <f aca="false">IF(J391&lt;&gt;"",I391-J391,"")</f>
        <v/>
      </c>
      <c r="L391" s="0" t="str">
        <f aca="false">IF(AND(J391&lt;&gt;"",J391&lt;&gt;0),K391/J391,"")</f>
        <v/>
      </c>
      <c r="M391" s="0" t="str">
        <f aca="false">IF(AND(D391&lt;&gt;"",E391&lt;&gt;""),IF((DATEVALUE(E391)-DATEVALUE(D391))&gt;365,"Long Term","Short Term"),"")</f>
        <v/>
      </c>
    </row>
    <row r="392" customFormat="false" ht="15" hidden="false" customHeight="false" outlineLevel="0" collapsed="false">
      <c r="I392" s="0" t="str">
        <f aca="false">IF(F392&lt;&gt;"",F392*G392,"")</f>
        <v/>
      </c>
      <c r="J392" s="0" t="str">
        <f aca="false">IF(F392&lt;&gt;"",F392*H392,"")</f>
        <v/>
      </c>
      <c r="K392" s="0" t="str">
        <f aca="false">IF(J392&lt;&gt;"",I392-J392,"")</f>
        <v/>
      </c>
      <c r="L392" s="0" t="str">
        <f aca="false">IF(AND(J392&lt;&gt;"",J392&lt;&gt;0),K392/J392,"")</f>
        <v/>
      </c>
      <c r="M392" s="0" t="str">
        <f aca="false">IF(AND(D392&lt;&gt;"",E392&lt;&gt;""),IF((DATEVALUE(E392)-DATEVALUE(D392))&gt;365,"Long Term","Short Term"),"")</f>
        <v/>
      </c>
    </row>
    <row r="393" customFormat="false" ht="15" hidden="false" customHeight="false" outlineLevel="0" collapsed="false">
      <c r="I393" s="0" t="str">
        <f aca="false">IF(F393&lt;&gt;"",F393*G393,"")</f>
        <v/>
      </c>
      <c r="J393" s="0" t="str">
        <f aca="false">IF(F393&lt;&gt;"",F393*H393,"")</f>
        <v/>
      </c>
      <c r="K393" s="0" t="str">
        <f aca="false">IF(J393&lt;&gt;"",I393-J393,"")</f>
        <v/>
      </c>
      <c r="L393" s="0" t="str">
        <f aca="false">IF(AND(J393&lt;&gt;"",J393&lt;&gt;0),K393/J393,"")</f>
        <v/>
      </c>
      <c r="M393" s="0" t="str">
        <f aca="false">IF(AND(D393&lt;&gt;"",E393&lt;&gt;""),IF((DATEVALUE(E393)-DATEVALUE(D393))&gt;365,"Long Term","Short Term"),"")</f>
        <v/>
      </c>
    </row>
    <row r="394" customFormat="false" ht="15" hidden="false" customHeight="false" outlineLevel="0" collapsed="false">
      <c r="I394" s="0" t="str">
        <f aca="false">IF(F394&lt;&gt;"",F394*G394,"")</f>
        <v/>
      </c>
      <c r="J394" s="0" t="str">
        <f aca="false">IF(F394&lt;&gt;"",F394*H394,"")</f>
        <v/>
      </c>
      <c r="K394" s="0" t="str">
        <f aca="false">IF(J394&lt;&gt;"",I394-J394,"")</f>
        <v/>
      </c>
      <c r="L394" s="0" t="str">
        <f aca="false">IF(AND(J394&lt;&gt;"",J394&lt;&gt;0),K394/J394,"")</f>
        <v/>
      </c>
      <c r="M394" s="0" t="str">
        <f aca="false">IF(AND(D394&lt;&gt;"",E394&lt;&gt;""),IF((DATEVALUE(E394)-DATEVALUE(D394))&gt;365,"Long Term","Short Term"),"")</f>
        <v/>
      </c>
    </row>
    <row r="395" customFormat="false" ht="15" hidden="false" customHeight="false" outlineLevel="0" collapsed="false">
      <c r="I395" s="0" t="str">
        <f aca="false">IF(F395&lt;&gt;"",F395*G395,"")</f>
        <v/>
      </c>
      <c r="J395" s="0" t="str">
        <f aca="false">IF(F395&lt;&gt;"",F395*H395,"")</f>
        <v/>
      </c>
      <c r="K395" s="0" t="str">
        <f aca="false">IF(J395&lt;&gt;"",I395-J395,"")</f>
        <v/>
      </c>
      <c r="L395" s="0" t="str">
        <f aca="false">IF(AND(J395&lt;&gt;"",J395&lt;&gt;0),K395/J395,"")</f>
        <v/>
      </c>
      <c r="M395" s="0" t="str">
        <f aca="false">IF(AND(D395&lt;&gt;"",E395&lt;&gt;""),IF((DATEVALUE(E395)-DATEVALUE(D395))&gt;365,"Long Term","Short Term"),"")</f>
        <v/>
      </c>
    </row>
    <row r="396" customFormat="false" ht="15" hidden="false" customHeight="false" outlineLevel="0" collapsed="false">
      <c r="I396" s="0" t="str">
        <f aca="false">IF(F396&lt;&gt;"",F396*G396,"")</f>
        <v/>
      </c>
      <c r="J396" s="0" t="str">
        <f aca="false">IF(F396&lt;&gt;"",F396*H396,"")</f>
        <v/>
      </c>
      <c r="K396" s="0" t="str">
        <f aca="false">IF(J396&lt;&gt;"",I396-J396,"")</f>
        <v/>
      </c>
      <c r="L396" s="0" t="str">
        <f aca="false">IF(AND(J396&lt;&gt;"",J396&lt;&gt;0),K396/J396,"")</f>
        <v/>
      </c>
      <c r="M396" s="0" t="str">
        <f aca="false">IF(AND(D396&lt;&gt;"",E396&lt;&gt;""),IF((DATEVALUE(E396)-DATEVALUE(D396))&gt;365,"Long Term","Short Term"),"")</f>
        <v/>
      </c>
    </row>
    <row r="397" customFormat="false" ht="15" hidden="false" customHeight="false" outlineLevel="0" collapsed="false">
      <c r="I397" s="0" t="str">
        <f aca="false">IF(F397&lt;&gt;"",F397*G397,"")</f>
        <v/>
      </c>
      <c r="J397" s="0" t="str">
        <f aca="false">IF(F397&lt;&gt;"",F397*H397,"")</f>
        <v/>
      </c>
      <c r="K397" s="0" t="str">
        <f aca="false">IF(J397&lt;&gt;"",I397-J397,"")</f>
        <v/>
      </c>
      <c r="L397" s="0" t="str">
        <f aca="false">IF(AND(J397&lt;&gt;"",J397&lt;&gt;0),K397/J397,"")</f>
        <v/>
      </c>
      <c r="M397" s="0" t="str">
        <f aca="false">IF(AND(D397&lt;&gt;"",E397&lt;&gt;""),IF((DATEVALUE(E397)-DATEVALUE(D397))&gt;365,"Long Term","Short Term"),"")</f>
        <v/>
      </c>
    </row>
    <row r="398" customFormat="false" ht="15" hidden="false" customHeight="false" outlineLevel="0" collapsed="false">
      <c r="I398" s="0" t="str">
        <f aca="false">IF(F398&lt;&gt;"",F398*G398,"")</f>
        <v/>
      </c>
      <c r="J398" s="0" t="str">
        <f aca="false">IF(F398&lt;&gt;"",F398*H398,"")</f>
        <v/>
      </c>
      <c r="K398" s="0" t="str">
        <f aca="false">IF(J398&lt;&gt;"",I398-J398,"")</f>
        <v/>
      </c>
      <c r="L398" s="0" t="str">
        <f aca="false">IF(AND(J398&lt;&gt;"",J398&lt;&gt;0),K398/J398,"")</f>
        <v/>
      </c>
      <c r="M398" s="0" t="str">
        <f aca="false">IF(AND(D398&lt;&gt;"",E398&lt;&gt;""),IF((DATEVALUE(E398)-DATEVALUE(D398))&gt;365,"Long Term","Short Term"),"")</f>
        <v/>
      </c>
    </row>
    <row r="399" customFormat="false" ht="15" hidden="false" customHeight="false" outlineLevel="0" collapsed="false">
      <c r="I399" s="0" t="str">
        <f aca="false">IF(F399&lt;&gt;"",F399*G399,"")</f>
        <v/>
      </c>
      <c r="J399" s="0" t="str">
        <f aca="false">IF(F399&lt;&gt;"",F399*H399,"")</f>
        <v/>
      </c>
      <c r="K399" s="0" t="str">
        <f aca="false">IF(J399&lt;&gt;"",I399-J399,"")</f>
        <v/>
      </c>
      <c r="L399" s="0" t="str">
        <f aca="false">IF(AND(J399&lt;&gt;"",J399&lt;&gt;0),K399/J399,"")</f>
        <v/>
      </c>
      <c r="M399" s="0" t="str">
        <f aca="false">IF(AND(D399&lt;&gt;"",E399&lt;&gt;""),IF((DATEVALUE(E399)-DATEVALUE(D399))&gt;365,"Long Term","Short Term"),"")</f>
        <v/>
      </c>
    </row>
    <row r="400" customFormat="false" ht="15" hidden="false" customHeight="false" outlineLevel="0" collapsed="false">
      <c r="I400" s="0" t="str">
        <f aca="false">IF(F400&lt;&gt;"",F400*G400,"")</f>
        <v/>
      </c>
      <c r="J400" s="0" t="str">
        <f aca="false">IF(F400&lt;&gt;"",F400*H400,"")</f>
        <v/>
      </c>
      <c r="K400" s="0" t="str">
        <f aca="false">IF(J400&lt;&gt;"",I400-J400,"")</f>
        <v/>
      </c>
      <c r="L400" s="0" t="str">
        <f aca="false">IF(AND(J400&lt;&gt;"",J400&lt;&gt;0),K400/J400,"")</f>
        <v/>
      </c>
      <c r="M400" s="0" t="str">
        <f aca="false">IF(AND(D400&lt;&gt;"",E400&lt;&gt;""),IF((DATEVALUE(E400)-DATEVALUE(D400))&gt;365,"Long Term","Short Term"),"")</f>
        <v/>
      </c>
    </row>
    <row r="401" customFormat="false" ht="15" hidden="false" customHeight="false" outlineLevel="0" collapsed="false">
      <c r="I401" s="0" t="str">
        <f aca="false">IF(F401&lt;&gt;"",F401*G401,"")</f>
        <v/>
      </c>
      <c r="J401" s="0" t="str">
        <f aca="false">IF(F401&lt;&gt;"",F401*H401,"")</f>
        <v/>
      </c>
      <c r="K401" s="0" t="str">
        <f aca="false">IF(J401&lt;&gt;"",I401-J401,"")</f>
        <v/>
      </c>
      <c r="L401" s="0" t="str">
        <f aca="false">IF(AND(J401&lt;&gt;"",J401&lt;&gt;0),K401/J401,"")</f>
        <v/>
      </c>
      <c r="M401" s="0" t="str">
        <f aca="false">IF(AND(D401&lt;&gt;"",E401&lt;&gt;""),IF((DATEVALUE(E401)-DATEVALUE(D401))&gt;365,"Long Term","Short Term"),"")</f>
        <v/>
      </c>
    </row>
    <row r="402" customFormat="false" ht="15" hidden="false" customHeight="false" outlineLevel="0" collapsed="false">
      <c r="I402" s="0" t="str">
        <f aca="false">IF(F402&lt;&gt;"",F402*G402,"")</f>
        <v/>
      </c>
      <c r="J402" s="0" t="str">
        <f aca="false">IF(F402&lt;&gt;"",F402*H402,"")</f>
        <v/>
      </c>
      <c r="K402" s="0" t="str">
        <f aca="false">IF(J402&lt;&gt;"",I402-J402,"")</f>
        <v/>
      </c>
      <c r="L402" s="0" t="str">
        <f aca="false">IF(AND(J402&lt;&gt;"",J402&lt;&gt;0),K402/J402,"")</f>
        <v/>
      </c>
      <c r="M402" s="0" t="str">
        <f aca="false">IF(AND(D402&lt;&gt;"",E402&lt;&gt;""),IF((DATEVALUE(E402)-DATEVALUE(D402))&gt;365,"Long Term","Short Term"),"")</f>
        <v/>
      </c>
    </row>
    <row r="403" customFormat="false" ht="15" hidden="false" customHeight="false" outlineLevel="0" collapsed="false">
      <c r="I403" s="0" t="str">
        <f aca="false">IF(F403&lt;&gt;"",F403*G403,"")</f>
        <v/>
      </c>
      <c r="J403" s="0" t="str">
        <f aca="false">IF(F403&lt;&gt;"",F403*H403,"")</f>
        <v/>
      </c>
      <c r="K403" s="0" t="str">
        <f aca="false">IF(J403&lt;&gt;"",I403-J403,"")</f>
        <v/>
      </c>
      <c r="L403" s="0" t="str">
        <f aca="false">IF(AND(J403&lt;&gt;"",J403&lt;&gt;0),K403/J403,"")</f>
        <v/>
      </c>
      <c r="M403" s="0" t="str">
        <f aca="false">IF(AND(D403&lt;&gt;"",E403&lt;&gt;""),IF((DATEVALUE(E403)-DATEVALUE(D403))&gt;365,"Long Term","Short Term"),"")</f>
        <v/>
      </c>
    </row>
    <row r="404" customFormat="false" ht="15" hidden="false" customHeight="false" outlineLevel="0" collapsed="false">
      <c r="I404" s="0" t="str">
        <f aca="false">IF(F404&lt;&gt;"",F404*G404,"")</f>
        <v/>
      </c>
      <c r="J404" s="0" t="str">
        <f aca="false">IF(F404&lt;&gt;"",F404*H404,"")</f>
        <v/>
      </c>
      <c r="K404" s="0" t="str">
        <f aca="false">IF(J404&lt;&gt;"",I404-J404,"")</f>
        <v/>
      </c>
      <c r="L404" s="0" t="str">
        <f aca="false">IF(AND(J404&lt;&gt;"",J404&lt;&gt;0),K404/J404,"")</f>
        <v/>
      </c>
      <c r="M404" s="0" t="str">
        <f aca="false">IF(AND(D404&lt;&gt;"",E404&lt;&gt;""),IF((DATEVALUE(E404)-DATEVALUE(D404))&gt;365,"Long Term","Short Term"),"")</f>
        <v/>
      </c>
    </row>
    <row r="405" customFormat="false" ht="15" hidden="false" customHeight="false" outlineLevel="0" collapsed="false">
      <c r="I405" s="0" t="str">
        <f aca="false">IF(F405&lt;&gt;"",F405*G405,"")</f>
        <v/>
      </c>
      <c r="J405" s="0" t="str">
        <f aca="false">IF(F405&lt;&gt;"",F405*H405,"")</f>
        <v/>
      </c>
      <c r="K405" s="0" t="str">
        <f aca="false">IF(J405&lt;&gt;"",I405-J405,"")</f>
        <v/>
      </c>
      <c r="L405" s="0" t="str">
        <f aca="false">IF(AND(J405&lt;&gt;"",J405&lt;&gt;0),K405/J405,"")</f>
        <v/>
      </c>
      <c r="M405" s="0" t="str">
        <f aca="false">IF(AND(D405&lt;&gt;"",E405&lt;&gt;""),IF((DATEVALUE(E405)-DATEVALUE(D405))&gt;365,"Long Term","Short Term"),"")</f>
        <v/>
      </c>
    </row>
    <row r="406" customFormat="false" ht="15" hidden="false" customHeight="false" outlineLevel="0" collapsed="false">
      <c r="I406" s="0" t="str">
        <f aca="false">IF(F406&lt;&gt;"",F406*G406,"")</f>
        <v/>
      </c>
      <c r="J406" s="0" t="str">
        <f aca="false">IF(F406&lt;&gt;"",F406*H406,"")</f>
        <v/>
      </c>
      <c r="K406" s="0" t="str">
        <f aca="false">IF(J406&lt;&gt;"",I406-J406,"")</f>
        <v/>
      </c>
      <c r="L406" s="0" t="str">
        <f aca="false">IF(AND(J406&lt;&gt;"",J406&lt;&gt;0),K406/J406,"")</f>
        <v/>
      </c>
      <c r="M406" s="0" t="str">
        <f aca="false">IF(AND(D406&lt;&gt;"",E406&lt;&gt;""),IF((DATEVALUE(E406)-DATEVALUE(D406))&gt;365,"Long Term","Short Term"),"")</f>
        <v/>
      </c>
    </row>
    <row r="407" customFormat="false" ht="15" hidden="false" customHeight="false" outlineLevel="0" collapsed="false">
      <c r="I407" s="0" t="str">
        <f aca="false">IF(F407&lt;&gt;"",F407*G407,"")</f>
        <v/>
      </c>
      <c r="J407" s="0" t="str">
        <f aca="false">IF(F407&lt;&gt;"",F407*H407,"")</f>
        <v/>
      </c>
      <c r="K407" s="0" t="str">
        <f aca="false">IF(J407&lt;&gt;"",I407-J407,"")</f>
        <v/>
      </c>
      <c r="L407" s="0" t="str">
        <f aca="false">IF(AND(J407&lt;&gt;"",J407&lt;&gt;0),K407/J407,"")</f>
        <v/>
      </c>
      <c r="M407" s="0" t="str">
        <f aca="false">IF(AND(D407&lt;&gt;"",E407&lt;&gt;""),IF((DATEVALUE(E407)-DATEVALUE(D407))&gt;365,"Long Term","Short Term"),"")</f>
        <v/>
      </c>
    </row>
    <row r="408" customFormat="false" ht="15" hidden="false" customHeight="false" outlineLevel="0" collapsed="false">
      <c r="I408" s="0" t="str">
        <f aca="false">IF(F408&lt;&gt;"",F408*G408,"")</f>
        <v/>
      </c>
      <c r="J408" s="0" t="str">
        <f aca="false">IF(F408&lt;&gt;"",F408*H408,"")</f>
        <v/>
      </c>
      <c r="K408" s="0" t="str">
        <f aca="false">IF(J408&lt;&gt;"",I408-J408,"")</f>
        <v/>
      </c>
      <c r="L408" s="0" t="str">
        <f aca="false">IF(AND(J408&lt;&gt;"",J408&lt;&gt;0),K408/J408,"")</f>
        <v/>
      </c>
      <c r="M408" s="0" t="str">
        <f aca="false">IF(AND(D408&lt;&gt;"",E408&lt;&gt;""),IF((DATEVALUE(E408)-DATEVALUE(D408))&gt;365,"Long Term","Short Term"),"")</f>
        <v/>
      </c>
    </row>
    <row r="409" customFormat="false" ht="15" hidden="false" customHeight="false" outlineLevel="0" collapsed="false">
      <c r="I409" s="0" t="str">
        <f aca="false">IF(F409&lt;&gt;"",F409*G409,"")</f>
        <v/>
      </c>
      <c r="J409" s="0" t="str">
        <f aca="false">IF(F409&lt;&gt;"",F409*H409,"")</f>
        <v/>
      </c>
      <c r="K409" s="0" t="str">
        <f aca="false">IF(J409&lt;&gt;"",I409-J409,"")</f>
        <v/>
      </c>
      <c r="L409" s="0" t="str">
        <f aca="false">IF(AND(J409&lt;&gt;"",J409&lt;&gt;0),K409/J409,"")</f>
        <v/>
      </c>
      <c r="M409" s="0" t="str">
        <f aca="false">IF(AND(D409&lt;&gt;"",E409&lt;&gt;""),IF((DATEVALUE(E409)-DATEVALUE(D409))&gt;365,"Long Term","Short Term"),"")</f>
        <v/>
      </c>
    </row>
    <row r="410" customFormat="false" ht="15" hidden="false" customHeight="false" outlineLevel="0" collapsed="false">
      <c r="I410" s="0" t="str">
        <f aca="false">IF(F410&lt;&gt;"",F410*G410,"")</f>
        <v/>
      </c>
      <c r="J410" s="0" t="str">
        <f aca="false">IF(F410&lt;&gt;"",F410*H410,"")</f>
        <v/>
      </c>
      <c r="K410" s="0" t="str">
        <f aca="false">IF(J410&lt;&gt;"",I410-J410,"")</f>
        <v/>
      </c>
      <c r="L410" s="0" t="str">
        <f aca="false">IF(AND(J410&lt;&gt;"",J410&lt;&gt;0),K410/J410,"")</f>
        <v/>
      </c>
      <c r="M410" s="0" t="str">
        <f aca="false">IF(AND(D410&lt;&gt;"",E410&lt;&gt;""),IF((DATEVALUE(E410)-DATEVALUE(D410))&gt;365,"Long Term","Short Term"),"")</f>
        <v/>
      </c>
    </row>
    <row r="411" customFormat="false" ht="15" hidden="false" customHeight="false" outlineLevel="0" collapsed="false">
      <c r="I411" s="0" t="str">
        <f aca="false">IF(F411&lt;&gt;"",F411*G411,"")</f>
        <v/>
      </c>
      <c r="J411" s="0" t="str">
        <f aca="false">IF(F411&lt;&gt;"",F411*H411,"")</f>
        <v/>
      </c>
      <c r="K411" s="0" t="str">
        <f aca="false">IF(J411&lt;&gt;"",I411-J411,"")</f>
        <v/>
      </c>
      <c r="L411" s="0" t="str">
        <f aca="false">IF(AND(J411&lt;&gt;"",J411&lt;&gt;0),K411/J411,"")</f>
        <v/>
      </c>
      <c r="M411" s="0" t="str">
        <f aca="false">IF(AND(D411&lt;&gt;"",E411&lt;&gt;""),IF((DATEVALUE(E411)-DATEVALUE(D411))&gt;365,"Long Term","Short Term"),"")</f>
        <v/>
      </c>
    </row>
    <row r="412" customFormat="false" ht="15" hidden="false" customHeight="false" outlineLevel="0" collapsed="false">
      <c r="I412" s="0" t="str">
        <f aca="false">IF(F412&lt;&gt;"",F412*G412,"")</f>
        <v/>
      </c>
      <c r="J412" s="0" t="str">
        <f aca="false">IF(F412&lt;&gt;"",F412*H412,"")</f>
        <v/>
      </c>
      <c r="K412" s="0" t="str">
        <f aca="false">IF(J412&lt;&gt;"",I412-J412,"")</f>
        <v/>
      </c>
      <c r="L412" s="0" t="str">
        <f aca="false">IF(AND(J412&lt;&gt;"",J412&lt;&gt;0),K412/J412,"")</f>
        <v/>
      </c>
      <c r="M412" s="0" t="str">
        <f aca="false">IF(AND(D412&lt;&gt;"",E412&lt;&gt;""),IF((DATEVALUE(E412)-DATEVALUE(D412))&gt;365,"Long Term","Short Term"),"")</f>
        <v/>
      </c>
    </row>
    <row r="413" customFormat="false" ht="15" hidden="false" customHeight="false" outlineLevel="0" collapsed="false">
      <c r="I413" s="0" t="str">
        <f aca="false">IF(F413&lt;&gt;"",F413*G413,"")</f>
        <v/>
      </c>
      <c r="J413" s="0" t="str">
        <f aca="false">IF(F413&lt;&gt;"",F413*H413,"")</f>
        <v/>
      </c>
      <c r="K413" s="0" t="str">
        <f aca="false">IF(J413&lt;&gt;"",I413-J413,"")</f>
        <v/>
      </c>
      <c r="L413" s="0" t="str">
        <f aca="false">IF(AND(J413&lt;&gt;"",J413&lt;&gt;0),K413/J413,"")</f>
        <v/>
      </c>
      <c r="M413" s="0" t="str">
        <f aca="false">IF(AND(D413&lt;&gt;"",E413&lt;&gt;""),IF((DATEVALUE(E413)-DATEVALUE(D413))&gt;365,"Long Term","Short Term"),"")</f>
        <v/>
      </c>
    </row>
    <row r="414" customFormat="false" ht="15" hidden="false" customHeight="false" outlineLevel="0" collapsed="false">
      <c r="I414" s="0" t="str">
        <f aca="false">IF(F414&lt;&gt;"",F414*G414,"")</f>
        <v/>
      </c>
      <c r="J414" s="0" t="str">
        <f aca="false">IF(F414&lt;&gt;"",F414*H414,"")</f>
        <v/>
      </c>
      <c r="K414" s="0" t="str">
        <f aca="false">IF(J414&lt;&gt;"",I414-J414,"")</f>
        <v/>
      </c>
      <c r="L414" s="0" t="str">
        <f aca="false">IF(AND(J414&lt;&gt;"",J414&lt;&gt;0),K414/J414,"")</f>
        <v/>
      </c>
      <c r="M414" s="0" t="str">
        <f aca="false">IF(AND(D414&lt;&gt;"",E414&lt;&gt;""),IF((DATEVALUE(E414)-DATEVALUE(D414))&gt;365,"Long Term","Short Term"),"")</f>
        <v/>
      </c>
    </row>
    <row r="415" customFormat="false" ht="15" hidden="false" customHeight="false" outlineLevel="0" collapsed="false">
      <c r="I415" s="0" t="str">
        <f aca="false">IF(F415&lt;&gt;"",F415*G415,"")</f>
        <v/>
      </c>
      <c r="J415" s="0" t="str">
        <f aca="false">IF(F415&lt;&gt;"",F415*H415,"")</f>
        <v/>
      </c>
      <c r="K415" s="0" t="str">
        <f aca="false">IF(J415&lt;&gt;"",I415-J415,"")</f>
        <v/>
      </c>
      <c r="L415" s="0" t="str">
        <f aca="false">IF(AND(J415&lt;&gt;"",J415&lt;&gt;0),K415/J415,"")</f>
        <v/>
      </c>
      <c r="M415" s="0" t="str">
        <f aca="false">IF(AND(D415&lt;&gt;"",E415&lt;&gt;""),IF((DATEVALUE(E415)-DATEVALUE(D415))&gt;365,"Long Term","Short Term"),"")</f>
        <v/>
      </c>
    </row>
    <row r="416" customFormat="false" ht="15" hidden="false" customHeight="false" outlineLevel="0" collapsed="false">
      <c r="I416" s="0" t="str">
        <f aca="false">IF(F416&lt;&gt;"",F416*G416,"")</f>
        <v/>
      </c>
      <c r="J416" s="0" t="str">
        <f aca="false">IF(F416&lt;&gt;"",F416*H416,"")</f>
        <v/>
      </c>
      <c r="K416" s="0" t="str">
        <f aca="false">IF(J416&lt;&gt;"",I416-J416,"")</f>
        <v/>
      </c>
      <c r="L416" s="0" t="str">
        <f aca="false">IF(AND(J416&lt;&gt;"",J416&lt;&gt;0),K416/J416,"")</f>
        <v/>
      </c>
      <c r="M416" s="0" t="str">
        <f aca="false">IF(AND(D416&lt;&gt;"",E416&lt;&gt;""),IF((DATEVALUE(E416)-DATEVALUE(D416))&gt;365,"Long Term","Short Term"),"")</f>
        <v/>
      </c>
    </row>
    <row r="417" customFormat="false" ht="15" hidden="false" customHeight="false" outlineLevel="0" collapsed="false">
      <c r="I417" s="0" t="str">
        <f aca="false">IF(F417&lt;&gt;"",F417*G417,"")</f>
        <v/>
      </c>
      <c r="J417" s="0" t="str">
        <f aca="false">IF(F417&lt;&gt;"",F417*H417,"")</f>
        <v/>
      </c>
      <c r="K417" s="0" t="str">
        <f aca="false">IF(J417&lt;&gt;"",I417-J417,"")</f>
        <v/>
      </c>
      <c r="L417" s="0" t="str">
        <f aca="false">IF(AND(J417&lt;&gt;"",J417&lt;&gt;0),K417/J417,"")</f>
        <v/>
      </c>
      <c r="M417" s="0" t="str">
        <f aca="false">IF(AND(D417&lt;&gt;"",E417&lt;&gt;""),IF((DATEVALUE(E417)-DATEVALUE(D417))&gt;365,"Long Term","Short Term"),"")</f>
        <v/>
      </c>
    </row>
    <row r="418" customFormat="false" ht="15" hidden="false" customHeight="false" outlineLevel="0" collapsed="false">
      <c r="I418" s="0" t="str">
        <f aca="false">IF(F418&lt;&gt;"",F418*G418,"")</f>
        <v/>
      </c>
      <c r="J418" s="0" t="str">
        <f aca="false">IF(F418&lt;&gt;"",F418*H418,"")</f>
        <v/>
      </c>
      <c r="K418" s="0" t="str">
        <f aca="false">IF(J418&lt;&gt;"",I418-J418,"")</f>
        <v/>
      </c>
      <c r="L418" s="0" t="str">
        <f aca="false">IF(AND(J418&lt;&gt;"",J418&lt;&gt;0),K418/J418,"")</f>
        <v/>
      </c>
      <c r="M418" s="0" t="str">
        <f aca="false">IF(AND(D418&lt;&gt;"",E418&lt;&gt;""),IF((DATEVALUE(E418)-DATEVALUE(D418))&gt;365,"Long Term","Short Term"),"")</f>
        <v/>
      </c>
    </row>
    <row r="419" customFormat="false" ht="15" hidden="false" customHeight="false" outlineLevel="0" collapsed="false">
      <c r="I419" s="0" t="str">
        <f aca="false">IF(F419&lt;&gt;"",F419*G419,"")</f>
        <v/>
      </c>
      <c r="J419" s="0" t="str">
        <f aca="false">IF(F419&lt;&gt;"",F419*H419,"")</f>
        <v/>
      </c>
      <c r="K419" s="0" t="str">
        <f aca="false">IF(J419&lt;&gt;"",I419-J419,"")</f>
        <v/>
      </c>
      <c r="L419" s="0" t="str">
        <f aca="false">IF(AND(J419&lt;&gt;"",J419&lt;&gt;0),K419/J419,"")</f>
        <v/>
      </c>
      <c r="M419" s="0" t="str">
        <f aca="false">IF(AND(D419&lt;&gt;"",E419&lt;&gt;""),IF((DATEVALUE(E419)-DATEVALUE(D419))&gt;365,"Long Term","Short Term"),"")</f>
        <v/>
      </c>
    </row>
    <row r="420" customFormat="false" ht="15" hidden="false" customHeight="false" outlineLevel="0" collapsed="false">
      <c r="I420" s="0" t="str">
        <f aca="false">IF(F420&lt;&gt;"",F420*G420,"")</f>
        <v/>
      </c>
      <c r="J420" s="0" t="str">
        <f aca="false">IF(F420&lt;&gt;"",F420*H420,"")</f>
        <v/>
      </c>
      <c r="K420" s="0" t="str">
        <f aca="false">IF(J420&lt;&gt;"",I420-J420,"")</f>
        <v/>
      </c>
      <c r="L420" s="0" t="str">
        <f aca="false">IF(AND(J420&lt;&gt;"",J420&lt;&gt;0),K420/J420,"")</f>
        <v/>
      </c>
      <c r="M420" s="0" t="str">
        <f aca="false">IF(AND(D420&lt;&gt;"",E420&lt;&gt;""),IF((DATEVALUE(E420)-DATEVALUE(D420))&gt;365,"Long Term","Short Term"),"")</f>
        <v/>
      </c>
    </row>
    <row r="421" customFormat="false" ht="15" hidden="false" customHeight="false" outlineLevel="0" collapsed="false">
      <c r="I421" s="0" t="str">
        <f aca="false">IF(F421&lt;&gt;"",F421*G421,"")</f>
        <v/>
      </c>
      <c r="J421" s="0" t="str">
        <f aca="false">IF(F421&lt;&gt;"",F421*H421,"")</f>
        <v/>
      </c>
      <c r="K421" s="0" t="str">
        <f aca="false">IF(J421&lt;&gt;"",I421-J421,"")</f>
        <v/>
      </c>
      <c r="L421" s="0" t="str">
        <f aca="false">IF(AND(J421&lt;&gt;"",J421&lt;&gt;0),K421/J421,"")</f>
        <v/>
      </c>
      <c r="M421" s="0" t="str">
        <f aca="false">IF(AND(D421&lt;&gt;"",E421&lt;&gt;""),IF((DATEVALUE(E421)-DATEVALUE(D421))&gt;365,"Long Term","Short Term"),"")</f>
        <v/>
      </c>
    </row>
    <row r="422" customFormat="false" ht="15" hidden="false" customHeight="false" outlineLevel="0" collapsed="false">
      <c r="I422" s="0" t="str">
        <f aca="false">IF(F422&lt;&gt;"",F422*G422,"")</f>
        <v/>
      </c>
      <c r="J422" s="0" t="str">
        <f aca="false">IF(F422&lt;&gt;"",F422*H422,"")</f>
        <v/>
      </c>
      <c r="K422" s="0" t="str">
        <f aca="false">IF(J422&lt;&gt;"",I422-J422,"")</f>
        <v/>
      </c>
      <c r="L422" s="0" t="str">
        <f aca="false">IF(AND(J422&lt;&gt;"",J422&lt;&gt;0),K422/J422,"")</f>
        <v/>
      </c>
      <c r="M422" s="0" t="str">
        <f aca="false">IF(AND(D422&lt;&gt;"",E422&lt;&gt;""),IF((DATEVALUE(E422)-DATEVALUE(D422))&gt;365,"Long Term","Short Term"),"")</f>
        <v/>
      </c>
    </row>
    <row r="423" customFormat="false" ht="15" hidden="false" customHeight="false" outlineLevel="0" collapsed="false">
      <c r="I423" s="0" t="str">
        <f aca="false">IF(F423&lt;&gt;"",F423*G423,"")</f>
        <v/>
      </c>
      <c r="J423" s="0" t="str">
        <f aca="false">IF(F423&lt;&gt;"",F423*H423,"")</f>
        <v/>
      </c>
      <c r="K423" s="0" t="str">
        <f aca="false">IF(J423&lt;&gt;"",I423-J423,"")</f>
        <v/>
      </c>
      <c r="L423" s="0" t="str">
        <f aca="false">IF(AND(J423&lt;&gt;"",J423&lt;&gt;0),K423/J423,"")</f>
        <v/>
      </c>
      <c r="M423" s="0" t="str">
        <f aca="false">IF(AND(D423&lt;&gt;"",E423&lt;&gt;""),IF((DATEVALUE(E423)-DATEVALUE(D423))&gt;365,"Long Term","Short Term"),"")</f>
        <v/>
      </c>
    </row>
    <row r="424" customFormat="false" ht="15" hidden="false" customHeight="false" outlineLevel="0" collapsed="false">
      <c r="I424" s="0" t="str">
        <f aca="false">IF(F424&lt;&gt;"",F424*G424,"")</f>
        <v/>
      </c>
      <c r="J424" s="0" t="str">
        <f aca="false">IF(F424&lt;&gt;"",F424*H424,"")</f>
        <v/>
      </c>
      <c r="K424" s="0" t="str">
        <f aca="false">IF(J424&lt;&gt;"",I424-J424,"")</f>
        <v/>
      </c>
      <c r="L424" s="0" t="str">
        <f aca="false">IF(AND(J424&lt;&gt;"",J424&lt;&gt;0),K424/J424,"")</f>
        <v/>
      </c>
      <c r="M424" s="0" t="str">
        <f aca="false">IF(AND(D424&lt;&gt;"",E424&lt;&gt;""),IF((DATEVALUE(E424)-DATEVALUE(D424))&gt;365,"Long Term","Short Term"),"")</f>
        <v/>
      </c>
    </row>
    <row r="425" customFormat="false" ht="15" hidden="false" customHeight="false" outlineLevel="0" collapsed="false">
      <c r="I425" s="0" t="str">
        <f aca="false">IF(F425&lt;&gt;"",F425*G425,"")</f>
        <v/>
      </c>
      <c r="J425" s="0" t="str">
        <f aca="false">IF(F425&lt;&gt;"",F425*H425,"")</f>
        <v/>
      </c>
      <c r="K425" s="0" t="str">
        <f aca="false">IF(J425&lt;&gt;"",I425-J425,"")</f>
        <v/>
      </c>
      <c r="L425" s="0" t="str">
        <f aca="false">IF(AND(J425&lt;&gt;"",J425&lt;&gt;0),K425/J425,"")</f>
        <v/>
      </c>
      <c r="M425" s="0" t="str">
        <f aca="false">IF(AND(D425&lt;&gt;"",E425&lt;&gt;""),IF((DATEVALUE(E425)-DATEVALUE(D425))&gt;365,"Long Term","Short Term"),"")</f>
        <v/>
      </c>
    </row>
    <row r="426" customFormat="false" ht="15" hidden="false" customHeight="false" outlineLevel="0" collapsed="false">
      <c r="I426" s="0" t="str">
        <f aca="false">IF(F426&lt;&gt;"",F426*G426,"")</f>
        <v/>
      </c>
      <c r="J426" s="0" t="str">
        <f aca="false">IF(F426&lt;&gt;"",F426*H426,"")</f>
        <v/>
      </c>
      <c r="K426" s="0" t="str">
        <f aca="false">IF(J426&lt;&gt;"",I426-J426,"")</f>
        <v/>
      </c>
      <c r="L426" s="0" t="str">
        <f aca="false">IF(AND(J426&lt;&gt;"",J426&lt;&gt;0),K426/J426,"")</f>
        <v/>
      </c>
      <c r="M426" s="0" t="str">
        <f aca="false">IF(AND(D426&lt;&gt;"",E426&lt;&gt;""),IF((DATEVALUE(E426)-DATEVALUE(D426))&gt;365,"Long Term","Short Term"),"")</f>
        <v/>
      </c>
    </row>
    <row r="427" customFormat="false" ht="15" hidden="false" customHeight="false" outlineLevel="0" collapsed="false">
      <c r="I427" s="0" t="str">
        <f aca="false">IF(F427&lt;&gt;"",F427*G427,"")</f>
        <v/>
      </c>
      <c r="J427" s="0" t="str">
        <f aca="false">IF(F427&lt;&gt;"",F427*H427,"")</f>
        <v/>
      </c>
      <c r="K427" s="0" t="str">
        <f aca="false">IF(J427&lt;&gt;"",I427-J427,"")</f>
        <v/>
      </c>
      <c r="L427" s="0" t="str">
        <f aca="false">IF(AND(J427&lt;&gt;"",J427&lt;&gt;0),K427/J427,"")</f>
        <v/>
      </c>
      <c r="M427" s="0" t="str">
        <f aca="false">IF(AND(D427&lt;&gt;"",E427&lt;&gt;""),IF((DATEVALUE(E427)-DATEVALUE(D427))&gt;365,"Long Term","Short Term"),"")</f>
        <v/>
      </c>
    </row>
    <row r="428" customFormat="false" ht="15" hidden="false" customHeight="false" outlineLevel="0" collapsed="false">
      <c r="I428" s="0" t="str">
        <f aca="false">IF(F428&lt;&gt;"",F428*G428,"")</f>
        <v/>
      </c>
      <c r="J428" s="0" t="str">
        <f aca="false">IF(F428&lt;&gt;"",F428*H428,"")</f>
        <v/>
      </c>
      <c r="K428" s="0" t="str">
        <f aca="false">IF(J428&lt;&gt;"",I428-J428,"")</f>
        <v/>
      </c>
      <c r="L428" s="0" t="str">
        <f aca="false">IF(AND(J428&lt;&gt;"",J428&lt;&gt;0),K428/J428,"")</f>
        <v/>
      </c>
      <c r="M428" s="0" t="str">
        <f aca="false">IF(AND(D428&lt;&gt;"",E428&lt;&gt;""),IF((DATEVALUE(E428)-DATEVALUE(D428))&gt;365,"Long Term","Short Term"),"")</f>
        <v/>
      </c>
    </row>
    <row r="429" customFormat="false" ht="15" hidden="false" customHeight="false" outlineLevel="0" collapsed="false">
      <c r="I429" s="0" t="str">
        <f aca="false">IF(F429&lt;&gt;"",F429*G429,"")</f>
        <v/>
      </c>
      <c r="J429" s="0" t="str">
        <f aca="false">IF(F429&lt;&gt;"",F429*H429,"")</f>
        <v/>
      </c>
      <c r="K429" s="0" t="str">
        <f aca="false">IF(J429&lt;&gt;"",I429-J429,"")</f>
        <v/>
      </c>
      <c r="L429" s="0" t="str">
        <f aca="false">IF(AND(J429&lt;&gt;"",J429&lt;&gt;0),K429/J429,"")</f>
        <v/>
      </c>
      <c r="M429" s="0" t="str">
        <f aca="false">IF(AND(D429&lt;&gt;"",E429&lt;&gt;""),IF((DATEVALUE(E429)-DATEVALUE(D429))&gt;365,"Long Term","Short Term"),"")</f>
        <v/>
      </c>
    </row>
    <row r="430" customFormat="false" ht="15" hidden="false" customHeight="false" outlineLevel="0" collapsed="false">
      <c r="I430" s="0" t="str">
        <f aca="false">IF(F430&lt;&gt;"",F430*G430,"")</f>
        <v/>
      </c>
      <c r="J430" s="0" t="str">
        <f aca="false">IF(F430&lt;&gt;"",F430*H430,"")</f>
        <v/>
      </c>
      <c r="K430" s="0" t="str">
        <f aca="false">IF(J430&lt;&gt;"",I430-J430,"")</f>
        <v/>
      </c>
      <c r="L430" s="0" t="str">
        <f aca="false">IF(AND(J430&lt;&gt;"",J430&lt;&gt;0),K430/J430,"")</f>
        <v/>
      </c>
      <c r="M430" s="0" t="str">
        <f aca="false">IF(AND(D430&lt;&gt;"",E430&lt;&gt;""),IF((DATEVALUE(E430)-DATEVALUE(D430))&gt;365,"Long Term","Short Term"),"")</f>
        <v/>
      </c>
    </row>
    <row r="431" customFormat="false" ht="15" hidden="false" customHeight="false" outlineLevel="0" collapsed="false">
      <c r="I431" s="0" t="str">
        <f aca="false">IF(F431&lt;&gt;"",F431*G431,"")</f>
        <v/>
      </c>
      <c r="J431" s="0" t="str">
        <f aca="false">IF(F431&lt;&gt;"",F431*H431,"")</f>
        <v/>
      </c>
      <c r="K431" s="0" t="str">
        <f aca="false">IF(J431&lt;&gt;"",I431-J431,"")</f>
        <v/>
      </c>
      <c r="L431" s="0" t="str">
        <f aca="false">IF(AND(J431&lt;&gt;"",J431&lt;&gt;0),K431/J431,"")</f>
        <v/>
      </c>
      <c r="M431" s="0" t="str">
        <f aca="false">IF(AND(D431&lt;&gt;"",E431&lt;&gt;""),IF((DATEVALUE(E431)-DATEVALUE(D431))&gt;365,"Long Term","Short Term"),"")</f>
        <v/>
      </c>
    </row>
    <row r="432" customFormat="false" ht="15" hidden="false" customHeight="false" outlineLevel="0" collapsed="false">
      <c r="I432" s="0" t="str">
        <f aca="false">IF(F432&lt;&gt;"",F432*G432,"")</f>
        <v/>
      </c>
      <c r="J432" s="0" t="str">
        <f aca="false">IF(F432&lt;&gt;"",F432*H432,"")</f>
        <v/>
      </c>
      <c r="K432" s="0" t="str">
        <f aca="false">IF(J432&lt;&gt;"",I432-J432,"")</f>
        <v/>
      </c>
      <c r="L432" s="0" t="str">
        <f aca="false">IF(AND(J432&lt;&gt;"",J432&lt;&gt;0),K432/J432,"")</f>
        <v/>
      </c>
      <c r="M432" s="0" t="str">
        <f aca="false">IF(AND(D432&lt;&gt;"",E432&lt;&gt;""),IF((DATEVALUE(E432)-DATEVALUE(D432))&gt;365,"Long Term","Short Term"),"")</f>
        <v/>
      </c>
    </row>
    <row r="433" customFormat="false" ht="15" hidden="false" customHeight="false" outlineLevel="0" collapsed="false">
      <c r="I433" s="0" t="str">
        <f aca="false">IF(F433&lt;&gt;"",F433*G433,"")</f>
        <v/>
      </c>
      <c r="J433" s="0" t="str">
        <f aca="false">IF(F433&lt;&gt;"",F433*H433,"")</f>
        <v/>
      </c>
      <c r="K433" s="0" t="str">
        <f aca="false">IF(J433&lt;&gt;"",I433-J433,"")</f>
        <v/>
      </c>
      <c r="L433" s="0" t="str">
        <f aca="false">IF(AND(J433&lt;&gt;"",J433&lt;&gt;0),K433/J433,"")</f>
        <v/>
      </c>
      <c r="M433" s="0" t="str">
        <f aca="false">IF(AND(D433&lt;&gt;"",E433&lt;&gt;""),IF((DATEVALUE(E433)-DATEVALUE(D433))&gt;365,"Long Term","Short Term"),"")</f>
        <v/>
      </c>
    </row>
    <row r="434" customFormat="false" ht="15" hidden="false" customHeight="false" outlineLevel="0" collapsed="false">
      <c r="I434" s="0" t="str">
        <f aca="false">IF(F434&lt;&gt;"",F434*G434,"")</f>
        <v/>
      </c>
      <c r="J434" s="0" t="str">
        <f aca="false">IF(F434&lt;&gt;"",F434*H434,"")</f>
        <v/>
      </c>
      <c r="K434" s="0" t="str">
        <f aca="false">IF(J434&lt;&gt;"",I434-J434,"")</f>
        <v/>
      </c>
      <c r="L434" s="0" t="str">
        <f aca="false">IF(AND(J434&lt;&gt;"",J434&lt;&gt;0),K434/J434,"")</f>
        <v/>
      </c>
      <c r="M434" s="0" t="str">
        <f aca="false">IF(AND(D434&lt;&gt;"",E434&lt;&gt;""),IF((DATEVALUE(E434)-DATEVALUE(D434))&gt;365,"Long Term","Short Term"),"")</f>
        <v/>
      </c>
    </row>
    <row r="435" customFormat="false" ht="15" hidden="false" customHeight="false" outlineLevel="0" collapsed="false">
      <c r="I435" s="0" t="str">
        <f aca="false">IF(F435&lt;&gt;"",F435*G435,"")</f>
        <v/>
      </c>
      <c r="J435" s="0" t="str">
        <f aca="false">IF(F435&lt;&gt;"",F435*H435,"")</f>
        <v/>
      </c>
      <c r="K435" s="0" t="str">
        <f aca="false">IF(J435&lt;&gt;"",I435-J435,"")</f>
        <v/>
      </c>
      <c r="L435" s="0" t="str">
        <f aca="false">IF(AND(J435&lt;&gt;"",J435&lt;&gt;0),K435/J435,"")</f>
        <v/>
      </c>
      <c r="M435" s="0" t="str">
        <f aca="false">IF(AND(D435&lt;&gt;"",E435&lt;&gt;""),IF((DATEVALUE(E435)-DATEVALUE(D435))&gt;365,"Long Term","Short Term"),"")</f>
        <v/>
      </c>
    </row>
    <row r="436" customFormat="false" ht="15" hidden="false" customHeight="false" outlineLevel="0" collapsed="false">
      <c r="I436" s="0" t="str">
        <f aca="false">IF(F436&lt;&gt;"",F436*G436,"")</f>
        <v/>
      </c>
      <c r="J436" s="0" t="str">
        <f aca="false">IF(F436&lt;&gt;"",F436*H436,"")</f>
        <v/>
      </c>
      <c r="K436" s="0" t="str">
        <f aca="false">IF(J436&lt;&gt;"",I436-J436,"")</f>
        <v/>
      </c>
      <c r="L436" s="0" t="str">
        <f aca="false">IF(AND(J436&lt;&gt;"",J436&lt;&gt;0),K436/J436,"")</f>
        <v/>
      </c>
      <c r="M436" s="0" t="str">
        <f aca="false">IF(AND(D436&lt;&gt;"",E436&lt;&gt;""),IF((DATEVALUE(E436)-DATEVALUE(D436))&gt;365,"Long Term","Short Term"),"")</f>
        <v/>
      </c>
    </row>
    <row r="437" customFormat="false" ht="15" hidden="false" customHeight="false" outlineLevel="0" collapsed="false">
      <c r="I437" s="0" t="str">
        <f aca="false">IF(F437&lt;&gt;"",F437*G437,"")</f>
        <v/>
      </c>
      <c r="J437" s="0" t="str">
        <f aca="false">IF(F437&lt;&gt;"",F437*H437,"")</f>
        <v/>
      </c>
      <c r="K437" s="0" t="str">
        <f aca="false">IF(J437&lt;&gt;"",I437-J437,"")</f>
        <v/>
      </c>
      <c r="L437" s="0" t="str">
        <f aca="false">IF(AND(J437&lt;&gt;"",J437&lt;&gt;0),K437/J437,"")</f>
        <v/>
      </c>
      <c r="M437" s="0" t="str">
        <f aca="false">IF(AND(D437&lt;&gt;"",E437&lt;&gt;""),IF((DATEVALUE(E437)-DATEVALUE(D437))&gt;365,"Long Term","Short Term"),"")</f>
        <v/>
      </c>
    </row>
    <row r="438" customFormat="false" ht="15" hidden="false" customHeight="false" outlineLevel="0" collapsed="false">
      <c r="I438" s="0" t="str">
        <f aca="false">IF(F438&lt;&gt;"",F438*G438,"")</f>
        <v/>
      </c>
      <c r="J438" s="0" t="str">
        <f aca="false">IF(F438&lt;&gt;"",F438*H438,"")</f>
        <v/>
      </c>
      <c r="K438" s="0" t="str">
        <f aca="false">IF(J438&lt;&gt;"",I438-J438,"")</f>
        <v/>
      </c>
      <c r="L438" s="0" t="str">
        <f aca="false">IF(AND(J438&lt;&gt;"",J438&lt;&gt;0),K438/J438,"")</f>
        <v/>
      </c>
      <c r="M438" s="0" t="str">
        <f aca="false">IF(AND(D438&lt;&gt;"",E438&lt;&gt;""),IF((DATEVALUE(E438)-DATEVALUE(D438))&gt;365,"Long Term","Short Term"),"")</f>
        <v/>
      </c>
    </row>
    <row r="439" customFormat="false" ht="15" hidden="false" customHeight="false" outlineLevel="0" collapsed="false">
      <c r="I439" s="0" t="str">
        <f aca="false">IF(F439&lt;&gt;"",F439*G439,"")</f>
        <v/>
      </c>
      <c r="J439" s="0" t="str">
        <f aca="false">IF(F439&lt;&gt;"",F439*H439,"")</f>
        <v/>
      </c>
      <c r="K439" s="0" t="str">
        <f aca="false">IF(J439&lt;&gt;"",I439-J439,"")</f>
        <v/>
      </c>
      <c r="L439" s="0" t="str">
        <f aca="false">IF(AND(J439&lt;&gt;"",J439&lt;&gt;0),K439/J439,"")</f>
        <v/>
      </c>
      <c r="M439" s="0" t="str">
        <f aca="false">IF(AND(D439&lt;&gt;"",E439&lt;&gt;""),IF((DATEVALUE(E439)-DATEVALUE(D439))&gt;365,"Long Term","Short Term"),"")</f>
        <v/>
      </c>
    </row>
    <row r="440" customFormat="false" ht="15" hidden="false" customHeight="false" outlineLevel="0" collapsed="false">
      <c r="I440" s="0" t="str">
        <f aca="false">IF(F440&lt;&gt;"",F440*G440,"")</f>
        <v/>
      </c>
      <c r="J440" s="0" t="str">
        <f aca="false">IF(F440&lt;&gt;"",F440*H440,"")</f>
        <v/>
      </c>
      <c r="K440" s="0" t="str">
        <f aca="false">IF(J440&lt;&gt;"",I440-J440,"")</f>
        <v/>
      </c>
      <c r="L440" s="0" t="str">
        <f aca="false">IF(AND(J440&lt;&gt;"",J440&lt;&gt;0),K440/J440,"")</f>
        <v/>
      </c>
      <c r="M440" s="0" t="str">
        <f aca="false">IF(AND(D440&lt;&gt;"",E440&lt;&gt;""),IF((DATEVALUE(E440)-DATEVALUE(D440))&gt;365,"Long Term","Short Term"),"")</f>
        <v/>
      </c>
    </row>
    <row r="441" customFormat="false" ht="15" hidden="false" customHeight="false" outlineLevel="0" collapsed="false">
      <c r="I441" s="0" t="str">
        <f aca="false">IF(F441&lt;&gt;"",F441*G441,"")</f>
        <v/>
      </c>
      <c r="J441" s="0" t="str">
        <f aca="false">IF(F441&lt;&gt;"",F441*H441,"")</f>
        <v/>
      </c>
      <c r="K441" s="0" t="str">
        <f aca="false">IF(J441&lt;&gt;"",I441-J441,"")</f>
        <v/>
      </c>
      <c r="L441" s="0" t="str">
        <f aca="false">IF(AND(J441&lt;&gt;"",J441&lt;&gt;0),K441/J441,"")</f>
        <v/>
      </c>
      <c r="M441" s="0" t="str">
        <f aca="false">IF(AND(D441&lt;&gt;"",E441&lt;&gt;""),IF((DATEVALUE(E441)-DATEVALUE(D441))&gt;365,"Long Term","Short Term"),"")</f>
        <v/>
      </c>
    </row>
    <row r="442" customFormat="false" ht="15" hidden="false" customHeight="false" outlineLevel="0" collapsed="false">
      <c r="I442" s="0" t="str">
        <f aca="false">IF(F442&lt;&gt;"",F442*G442,"")</f>
        <v/>
      </c>
      <c r="J442" s="0" t="str">
        <f aca="false">IF(F442&lt;&gt;"",F442*H442,"")</f>
        <v/>
      </c>
      <c r="K442" s="0" t="str">
        <f aca="false">IF(J442&lt;&gt;"",I442-J442,"")</f>
        <v/>
      </c>
      <c r="L442" s="0" t="str">
        <f aca="false">IF(AND(J442&lt;&gt;"",J442&lt;&gt;0),K442/J442,"")</f>
        <v/>
      </c>
      <c r="M442" s="0" t="str">
        <f aca="false">IF(AND(D442&lt;&gt;"",E442&lt;&gt;""),IF((DATEVALUE(E442)-DATEVALUE(D442))&gt;365,"Long Term","Short Term"),"")</f>
        <v/>
      </c>
    </row>
    <row r="443" customFormat="false" ht="15" hidden="false" customHeight="false" outlineLevel="0" collapsed="false">
      <c r="I443" s="0" t="str">
        <f aca="false">IF(F443&lt;&gt;"",F443*G443,"")</f>
        <v/>
      </c>
      <c r="J443" s="0" t="str">
        <f aca="false">IF(F443&lt;&gt;"",F443*H443,"")</f>
        <v/>
      </c>
      <c r="K443" s="0" t="str">
        <f aca="false">IF(J443&lt;&gt;"",I443-J443,"")</f>
        <v/>
      </c>
      <c r="L443" s="0" t="str">
        <f aca="false">IF(AND(J443&lt;&gt;"",J443&lt;&gt;0),K443/J443,"")</f>
        <v/>
      </c>
      <c r="M443" s="0" t="str">
        <f aca="false">IF(AND(D443&lt;&gt;"",E443&lt;&gt;""),IF((DATEVALUE(E443)-DATEVALUE(D443))&gt;365,"Long Term","Short Term"),"")</f>
        <v/>
      </c>
    </row>
    <row r="444" customFormat="false" ht="15" hidden="false" customHeight="false" outlineLevel="0" collapsed="false">
      <c r="I444" s="0" t="str">
        <f aca="false">IF(F444&lt;&gt;"",F444*G444,"")</f>
        <v/>
      </c>
      <c r="J444" s="0" t="str">
        <f aca="false">IF(F444&lt;&gt;"",F444*H444,"")</f>
        <v/>
      </c>
      <c r="K444" s="0" t="str">
        <f aca="false">IF(J444&lt;&gt;"",I444-J444,"")</f>
        <v/>
      </c>
      <c r="L444" s="0" t="str">
        <f aca="false">IF(AND(J444&lt;&gt;"",J444&lt;&gt;0),K444/J444,"")</f>
        <v/>
      </c>
      <c r="M444" s="0" t="str">
        <f aca="false">IF(AND(D444&lt;&gt;"",E444&lt;&gt;""),IF((DATEVALUE(E444)-DATEVALUE(D444))&gt;365,"Long Term","Short Term"),"")</f>
        <v/>
      </c>
    </row>
    <row r="445" customFormat="false" ht="15" hidden="false" customHeight="false" outlineLevel="0" collapsed="false">
      <c r="I445" s="0" t="str">
        <f aca="false">IF(F445&lt;&gt;"",F445*G445,"")</f>
        <v/>
      </c>
      <c r="J445" s="0" t="str">
        <f aca="false">IF(F445&lt;&gt;"",F445*H445,"")</f>
        <v/>
      </c>
      <c r="K445" s="0" t="str">
        <f aca="false">IF(J445&lt;&gt;"",I445-J445,"")</f>
        <v/>
      </c>
      <c r="L445" s="0" t="str">
        <f aca="false">IF(AND(J445&lt;&gt;"",J445&lt;&gt;0),K445/J445,"")</f>
        <v/>
      </c>
      <c r="M445" s="0" t="str">
        <f aca="false">IF(AND(D445&lt;&gt;"",E445&lt;&gt;""),IF((DATEVALUE(E445)-DATEVALUE(D445))&gt;365,"Long Term","Short Term"),"")</f>
        <v/>
      </c>
    </row>
    <row r="446" customFormat="false" ht="15" hidden="false" customHeight="false" outlineLevel="0" collapsed="false">
      <c r="I446" s="0" t="str">
        <f aca="false">IF(F446&lt;&gt;"",F446*G446,"")</f>
        <v/>
      </c>
      <c r="J446" s="0" t="str">
        <f aca="false">IF(F446&lt;&gt;"",F446*H446,"")</f>
        <v/>
      </c>
      <c r="K446" s="0" t="str">
        <f aca="false">IF(J446&lt;&gt;"",I446-J446,"")</f>
        <v/>
      </c>
      <c r="L446" s="0" t="str">
        <f aca="false">IF(AND(J446&lt;&gt;"",J446&lt;&gt;0),K446/J446,"")</f>
        <v/>
      </c>
      <c r="M446" s="0" t="str">
        <f aca="false">IF(AND(D446&lt;&gt;"",E446&lt;&gt;""),IF((DATEVALUE(E446)-DATEVALUE(D446))&gt;365,"Long Term","Short Term"),"")</f>
        <v/>
      </c>
    </row>
    <row r="447" customFormat="false" ht="15" hidden="false" customHeight="false" outlineLevel="0" collapsed="false">
      <c r="I447" s="0" t="str">
        <f aca="false">IF(F447&lt;&gt;"",F447*G447,"")</f>
        <v/>
      </c>
      <c r="J447" s="0" t="str">
        <f aca="false">IF(F447&lt;&gt;"",F447*H447,"")</f>
        <v/>
      </c>
      <c r="K447" s="0" t="str">
        <f aca="false">IF(J447&lt;&gt;"",I447-J447,"")</f>
        <v/>
      </c>
      <c r="L447" s="0" t="str">
        <f aca="false">IF(AND(J447&lt;&gt;"",J447&lt;&gt;0),K447/J447,"")</f>
        <v/>
      </c>
      <c r="M447" s="0" t="str">
        <f aca="false">IF(AND(D447&lt;&gt;"",E447&lt;&gt;""),IF((DATEVALUE(E447)-DATEVALUE(D447))&gt;365,"Long Term","Short Term"),"")</f>
        <v/>
      </c>
    </row>
    <row r="448" customFormat="false" ht="15" hidden="false" customHeight="false" outlineLevel="0" collapsed="false">
      <c r="I448" s="0" t="str">
        <f aca="false">IF(F448&lt;&gt;"",F448*G448,"")</f>
        <v/>
      </c>
      <c r="J448" s="0" t="str">
        <f aca="false">IF(F448&lt;&gt;"",F448*H448,"")</f>
        <v/>
      </c>
      <c r="K448" s="0" t="str">
        <f aca="false">IF(J448&lt;&gt;"",I448-J448,"")</f>
        <v/>
      </c>
      <c r="L448" s="0" t="str">
        <f aca="false">IF(AND(J448&lt;&gt;"",J448&lt;&gt;0),K448/J448,"")</f>
        <v/>
      </c>
      <c r="M448" s="0" t="str">
        <f aca="false">IF(AND(D448&lt;&gt;"",E448&lt;&gt;""),IF((DATEVALUE(E448)-DATEVALUE(D448))&gt;365,"Long Term","Short Term"),"")</f>
        <v/>
      </c>
    </row>
    <row r="449" customFormat="false" ht="15" hidden="false" customHeight="false" outlineLevel="0" collapsed="false">
      <c r="I449" s="0" t="str">
        <f aca="false">IF(F449&lt;&gt;"",F449*G449,"")</f>
        <v/>
      </c>
      <c r="J449" s="0" t="str">
        <f aca="false">IF(F449&lt;&gt;"",F449*H449,"")</f>
        <v/>
      </c>
      <c r="K449" s="0" t="str">
        <f aca="false">IF(J449&lt;&gt;"",I449-J449,"")</f>
        <v/>
      </c>
      <c r="L449" s="0" t="str">
        <f aca="false">IF(AND(J449&lt;&gt;"",J449&lt;&gt;0),K449/J449,"")</f>
        <v/>
      </c>
      <c r="M449" s="0" t="str">
        <f aca="false">IF(AND(D449&lt;&gt;"",E449&lt;&gt;""),IF((DATEVALUE(E449)-DATEVALUE(D449))&gt;365,"Long Term","Short Term"),"")</f>
        <v/>
      </c>
    </row>
    <row r="450" customFormat="false" ht="15" hidden="false" customHeight="false" outlineLevel="0" collapsed="false">
      <c r="I450" s="0" t="str">
        <f aca="false">IF(F450&lt;&gt;"",F450*G450,"")</f>
        <v/>
      </c>
      <c r="J450" s="0" t="str">
        <f aca="false">IF(F450&lt;&gt;"",F450*H450,"")</f>
        <v/>
      </c>
      <c r="K450" s="0" t="str">
        <f aca="false">IF(J450&lt;&gt;"",I450-J450,"")</f>
        <v/>
      </c>
      <c r="L450" s="0" t="str">
        <f aca="false">IF(AND(J450&lt;&gt;"",J450&lt;&gt;0),K450/J450,"")</f>
        <v/>
      </c>
      <c r="M450" s="0" t="str">
        <f aca="false">IF(AND(D450&lt;&gt;"",E450&lt;&gt;""),IF((DATEVALUE(E450)-DATEVALUE(D450))&gt;365,"Long Term","Short Term"),"")</f>
        <v/>
      </c>
    </row>
    <row r="451" customFormat="false" ht="15" hidden="false" customHeight="false" outlineLevel="0" collapsed="false">
      <c r="I451" s="0" t="str">
        <f aca="false">IF(F451&lt;&gt;"",F451*G451,"")</f>
        <v/>
      </c>
      <c r="J451" s="0" t="str">
        <f aca="false">IF(F451&lt;&gt;"",F451*H451,"")</f>
        <v/>
      </c>
      <c r="K451" s="0" t="str">
        <f aca="false">IF(J451&lt;&gt;"",I451-J451,"")</f>
        <v/>
      </c>
      <c r="L451" s="0" t="str">
        <f aca="false">IF(AND(J451&lt;&gt;"",J451&lt;&gt;0),K451/J451,"")</f>
        <v/>
      </c>
      <c r="M451" s="0" t="str">
        <f aca="false">IF(AND(D451&lt;&gt;"",E451&lt;&gt;""),IF((DATEVALUE(E451)-DATEVALUE(D451))&gt;365,"Long Term","Short Term"),"")</f>
        <v/>
      </c>
    </row>
    <row r="452" customFormat="false" ht="15" hidden="false" customHeight="false" outlineLevel="0" collapsed="false">
      <c r="I452" s="0" t="str">
        <f aca="false">IF(F452&lt;&gt;"",F452*G452,"")</f>
        <v/>
      </c>
      <c r="J452" s="0" t="str">
        <f aca="false">IF(F452&lt;&gt;"",F452*H452,"")</f>
        <v/>
      </c>
      <c r="K452" s="0" t="str">
        <f aca="false">IF(J452&lt;&gt;"",I452-J452,"")</f>
        <v/>
      </c>
      <c r="L452" s="0" t="str">
        <f aca="false">IF(AND(J452&lt;&gt;"",J452&lt;&gt;0),K452/J452,"")</f>
        <v/>
      </c>
      <c r="M452" s="0" t="str">
        <f aca="false">IF(AND(D452&lt;&gt;"",E452&lt;&gt;""),IF((DATEVALUE(E452)-DATEVALUE(D452))&gt;365,"Long Term","Short Term"),"")</f>
        <v/>
      </c>
    </row>
    <row r="453" customFormat="false" ht="15" hidden="false" customHeight="false" outlineLevel="0" collapsed="false">
      <c r="I453" s="0" t="str">
        <f aca="false">IF(F453&lt;&gt;"",F453*G453,"")</f>
        <v/>
      </c>
      <c r="J453" s="0" t="str">
        <f aca="false">IF(F453&lt;&gt;"",F453*H453,"")</f>
        <v/>
      </c>
      <c r="K453" s="0" t="str">
        <f aca="false">IF(J453&lt;&gt;"",I453-J453,"")</f>
        <v/>
      </c>
      <c r="L453" s="0" t="str">
        <f aca="false">IF(AND(J453&lt;&gt;"",J453&lt;&gt;0),K453/J453,"")</f>
        <v/>
      </c>
      <c r="M453" s="0" t="str">
        <f aca="false">IF(AND(D453&lt;&gt;"",E453&lt;&gt;""),IF((DATEVALUE(E453)-DATEVALUE(D453))&gt;365,"Long Term","Short Term"),"")</f>
        <v/>
      </c>
    </row>
    <row r="454" customFormat="false" ht="15" hidden="false" customHeight="false" outlineLevel="0" collapsed="false">
      <c r="I454" s="0" t="str">
        <f aca="false">IF(F454&lt;&gt;"",F454*G454,"")</f>
        <v/>
      </c>
      <c r="J454" s="0" t="str">
        <f aca="false">IF(F454&lt;&gt;"",F454*H454,"")</f>
        <v/>
      </c>
      <c r="K454" s="0" t="str">
        <f aca="false">IF(J454&lt;&gt;"",I454-J454,"")</f>
        <v/>
      </c>
      <c r="L454" s="0" t="str">
        <f aca="false">IF(AND(J454&lt;&gt;"",J454&lt;&gt;0),K454/J454,"")</f>
        <v/>
      </c>
      <c r="M454" s="0" t="str">
        <f aca="false">IF(AND(D454&lt;&gt;"",E454&lt;&gt;""),IF((DATEVALUE(E454)-DATEVALUE(D454))&gt;365,"Long Term","Short Term"),"")</f>
        <v/>
      </c>
    </row>
    <row r="455" customFormat="false" ht="15" hidden="false" customHeight="false" outlineLevel="0" collapsed="false">
      <c r="I455" s="0" t="str">
        <f aca="false">IF(F455&lt;&gt;"",F455*G455,"")</f>
        <v/>
      </c>
      <c r="J455" s="0" t="str">
        <f aca="false">IF(F455&lt;&gt;"",F455*H455,"")</f>
        <v/>
      </c>
      <c r="K455" s="0" t="str">
        <f aca="false">IF(J455&lt;&gt;"",I455-J455,"")</f>
        <v/>
      </c>
      <c r="L455" s="0" t="str">
        <f aca="false">IF(AND(J455&lt;&gt;"",J455&lt;&gt;0),K455/J455,"")</f>
        <v/>
      </c>
      <c r="M455" s="0" t="str">
        <f aca="false">IF(AND(D455&lt;&gt;"",E455&lt;&gt;""),IF((DATEVALUE(E455)-DATEVALUE(D455))&gt;365,"Long Term","Short Term"),"")</f>
        <v/>
      </c>
    </row>
    <row r="456" customFormat="false" ht="15" hidden="false" customHeight="false" outlineLevel="0" collapsed="false">
      <c r="I456" s="0" t="str">
        <f aca="false">IF(F456&lt;&gt;"",F456*G456,"")</f>
        <v/>
      </c>
      <c r="J456" s="0" t="str">
        <f aca="false">IF(F456&lt;&gt;"",F456*H456,"")</f>
        <v/>
      </c>
      <c r="K456" s="0" t="str">
        <f aca="false">IF(J456&lt;&gt;"",I456-J456,"")</f>
        <v/>
      </c>
      <c r="L456" s="0" t="str">
        <f aca="false">IF(AND(J456&lt;&gt;"",J456&lt;&gt;0),K456/J456,"")</f>
        <v/>
      </c>
      <c r="M456" s="0" t="str">
        <f aca="false">IF(AND(D456&lt;&gt;"",E456&lt;&gt;""),IF((DATEVALUE(E456)-DATEVALUE(D456))&gt;365,"Long Term","Short Term"),"")</f>
        <v/>
      </c>
    </row>
    <row r="457" customFormat="false" ht="15" hidden="false" customHeight="false" outlineLevel="0" collapsed="false">
      <c r="I457" s="0" t="str">
        <f aca="false">IF(F457&lt;&gt;"",F457*G457,"")</f>
        <v/>
      </c>
      <c r="J457" s="0" t="str">
        <f aca="false">IF(F457&lt;&gt;"",F457*H457,"")</f>
        <v/>
      </c>
      <c r="K457" s="0" t="str">
        <f aca="false">IF(J457&lt;&gt;"",I457-J457,"")</f>
        <v/>
      </c>
      <c r="L457" s="0" t="str">
        <f aca="false">IF(AND(J457&lt;&gt;"",J457&lt;&gt;0),K457/J457,"")</f>
        <v/>
      </c>
      <c r="M457" s="0" t="str">
        <f aca="false">IF(AND(D457&lt;&gt;"",E457&lt;&gt;""),IF((DATEVALUE(E457)-DATEVALUE(D457))&gt;365,"Long Term","Short Term"),"")</f>
        <v/>
      </c>
    </row>
    <row r="458" customFormat="false" ht="15" hidden="false" customHeight="false" outlineLevel="0" collapsed="false">
      <c r="I458" s="0" t="str">
        <f aca="false">IF(F458&lt;&gt;"",F458*G458,"")</f>
        <v/>
      </c>
      <c r="J458" s="0" t="str">
        <f aca="false">IF(F458&lt;&gt;"",F458*H458,"")</f>
        <v/>
      </c>
      <c r="K458" s="0" t="str">
        <f aca="false">IF(J458&lt;&gt;"",I458-J458,"")</f>
        <v/>
      </c>
      <c r="L458" s="0" t="str">
        <f aca="false">IF(AND(J458&lt;&gt;"",J458&lt;&gt;0),K458/J458,"")</f>
        <v/>
      </c>
      <c r="M458" s="0" t="str">
        <f aca="false">IF(AND(D458&lt;&gt;"",E458&lt;&gt;""),IF((DATEVALUE(E458)-DATEVALUE(D458))&gt;365,"Long Term","Short Term"),"")</f>
        <v/>
      </c>
    </row>
    <row r="459" customFormat="false" ht="15" hidden="false" customHeight="false" outlineLevel="0" collapsed="false">
      <c r="I459" s="0" t="str">
        <f aca="false">IF(F459&lt;&gt;"",F459*G459,"")</f>
        <v/>
      </c>
      <c r="J459" s="0" t="str">
        <f aca="false">IF(F459&lt;&gt;"",F459*H459,"")</f>
        <v/>
      </c>
      <c r="K459" s="0" t="str">
        <f aca="false">IF(J459&lt;&gt;"",I459-J459,"")</f>
        <v/>
      </c>
      <c r="L459" s="0" t="str">
        <f aca="false">IF(AND(J459&lt;&gt;"",J459&lt;&gt;0),K459/J459,"")</f>
        <v/>
      </c>
      <c r="M459" s="0" t="str">
        <f aca="false">IF(AND(D459&lt;&gt;"",E459&lt;&gt;""),IF((DATEVALUE(E459)-DATEVALUE(D459))&gt;365,"Long Term","Short Term"),"")</f>
        <v/>
      </c>
    </row>
    <row r="460" customFormat="false" ht="15" hidden="false" customHeight="false" outlineLevel="0" collapsed="false">
      <c r="I460" s="0" t="str">
        <f aca="false">IF(F460&lt;&gt;"",F460*G460,"")</f>
        <v/>
      </c>
      <c r="J460" s="0" t="str">
        <f aca="false">IF(F460&lt;&gt;"",F460*H460,"")</f>
        <v/>
      </c>
      <c r="K460" s="0" t="str">
        <f aca="false">IF(J460&lt;&gt;"",I460-J460,"")</f>
        <v/>
      </c>
      <c r="L460" s="0" t="str">
        <f aca="false">IF(AND(J460&lt;&gt;"",J460&lt;&gt;0),K460/J460,"")</f>
        <v/>
      </c>
      <c r="M460" s="0" t="str">
        <f aca="false">IF(AND(D460&lt;&gt;"",E460&lt;&gt;""),IF((DATEVALUE(E460)-DATEVALUE(D460))&gt;365,"Long Term","Short Term"),"")</f>
        <v/>
      </c>
    </row>
    <row r="461" customFormat="false" ht="15" hidden="false" customHeight="false" outlineLevel="0" collapsed="false">
      <c r="I461" s="0" t="str">
        <f aca="false">IF(F461&lt;&gt;"",F461*G461,"")</f>
        <v/>
      </c>
      <c r="J461" s="0" t="str">
        <f aca="false">IF(F461&lt;&gt;"",F461*H461,"")</f>
        <v/>
      </c>
      <c r="K461" s="0" t="str">
        <f aca="false">IF(J461&lt;&gt;"",I461-J461,"")</f>
        <v/>
      </c>
      <c r="L461" s="0" t="str">
        <f aca="false">IF(AND(J461&lt;&gt;"",J461&lt;&gt;0),K461/J461,"")</f>
        <v/>
      </c>
      <c r="M461" s="0" t="str">
        <f aca="false">IF(AND(D461&lt;&gt;"",E461&lt;&gt;""),IF((DATEVALUE(E461)-DATEVALUE(D461))&gt;365,"Long Term","Short Term"),"")</f>
        <v/>
      </c>
    </row>
    <row r="462" customFormat="false" ht="15" hidden="false" customHeight="false" outlineLevel="0" collapsed="false">
      <c r="I462" s="0" t="str">
        <f aca="false">IF(F462&lt;&gt;"",F462*G462,"")</f>
        <v/>
      </c>
      <c r="J462" s="0" t="str">
        <f aca="false">IF(F462&lt;&gt;"",F462*H462,"")</f>
        <v/>
      </c>
      <c r="K462" s="0" t="str">
        <f aca="false">IF(J462&lt;&gt;"",I462-J462,"")</f>
        <v/>
      </c>
      <c r="L462" s="0" t="str">
        <f aca="false">IF(AND(J462&lt;&gt;"",J462&lt;&gt;0),K462/J462,"")</f>
        <v/>
      </c>
      <c r="M462" s="0" t="str">
        <f aca="false">IF(AND(D462&lt;&gt;"",E462&lt;&gt;""),IF((DATEVALUE(E462)-DATEVALUE(D462))&gt;365,"Long Term","Short Term"),"")</f>
        <v/>
      </c>
    </row>
    <row r="463" customFormat="false" ht="15" hidden="false" customHeight="false" outlineLevel="0" collapsed="false">
      <c r="I463" s="0" t="str">
        <f aca="false">IF(F463&lt;&gt;"",F463*G463,"")</f>
        <v/>
      </c>
      <c r="J463" s="0" t="str">
        <f aca="false">IF(F463&lt;&gt;"",F463*H463,"")</f>
        <v/>
      </c>
      <c r="K463" s="0" t="str">
        <f aca="false">IF(J463&lt;&gt;"",I463-J463,"")</f>
        <v/>
      </c>
      <c r="L463" s="0" t="str">
        <f aca="false">IF(AND(J463&lt;&gt;"",J463&lt;&gt;0),K463/J463,"")</f>
        <v/>
      </c>
      <c r="M463" s="0" t="str">
        <f aca="false">IF(AND(D463&lt;&gt;"",E463&lt;&gt;""),IF((DATEVALUE(E463)-DATEVALUE(D463))&gt;365,"Long Term","Short Term"),"")</f>
        <v/>
      </c>
    </row>
    <row r="464" customFormat="false" ht="15" hidden="false" customHeight="false" outlineLevel="0" collapsed="false">
      <c r="I464" s="0" t="str">
        <f aca="false">IF(F464&lt;&gt;"",F464*G464,"")</f>
        <v/>
      </c>
      <c r="J464" s="0" t="str">
        <f aca="false">IF(F464&lt;&gt;"",F464*H464,"")</f>
        <v/>
      </c>
      <c r="K464" s="0" t="str">
        <f aca="false">IF(J464&lt;&gt;"",I464-J464,"")</f>
        <v/>
      </c>
      <c r="L464" s="0" t="str">
        <f aca="false">IF(AND(J464&lt;&gt;"",J464&lt;&gt;0),K464/J464,"")</f>
        <v/>
      </c>
      <c r="M464" s="0" t="str">
        <f aca="false">IF(AND(D464&lt;&gt;"",E464&lt;&gt;""),IF((DATEVALUE(E464)-DATEVALUE(D464))&gt;365,"Long Term","Short Term"),"")</f>
        <v/>
      </c>
    </row>
    <row r="465" customFormat="false" ht="15" hidden="false" customHeight="false" outlineLevel="0" collapsed="false">
      <c r="I465" s="0" t="str">
        <f aca="false">IF(F465&lt;&gt;"",F465*G465,"")</f>
        <v/>
      </c>
      <c r="J465" s="0" t="str">
        <f aca="false">IF(F465&lt;&gt;"",F465*H465,"")</f>
        <v/>
      </c>
      <c r="K465" s="0" t="str">
        <f aca="false">IF(J465&lt;&gt;"",I465-J465,"")</f>
        <v/>
      </c>
      <c r="L465" s="0" t="str">
        <f aca="false">IF(AND(J465&lt;&gt;"",J465&lt;&gt;0),K465/J465,"")</f>
        <v/>
      </c>
      <c r="M465" s="0" t="str">
        <f aca="false">IF(AND(D465&lt;&gt;"",E465&lt;&gt;""),IF((DATEVALUE(E465)-DATEVALUE(D465))&gt;365,"Long Term","Short Term"),"")</f>
        <v/>
      </c>
    </row>
    <row r="466" customFormat="false" ht="15" hidden="false" customHeight="false" outlineLevel="0" collapsed="false">
      <c r="I466" s="0" t="str">
        <f aca="false">IF(F466&lt;&gt;"",F466*G466,"")</f>
        <v/>
      </c>
      <c r="J466" s="0" t="str">
        <f aca="false">IF(F466&lt;&gt;"",F466*H466,"")</f>
        <v/>
      </c>
      <c r="K466" s="0" t="str">
        <f aca="false">IF(J466&lt;&gt;"",I466-J466,"")</f>
        <v/>
      </c>
      <c r="L466" s="0" t="str">
        <f aca="false">IF(AND(J466&lt;&gt;"",J466&lt;&gt;0),K466/J466,"")</f>
        <v/>
      </c>
      <c r="M466" s="0" t="str">
        <f aca="false">IF(AND(D466&lt;&gt;"",E466&lt;&gt;""),IF((DATEVALUE(E466)-DATEVALUE(D466))&gt;365,"Long Term","Short Term"),"")</f>
        <v/>
      </c>
    </row>
    <row r="467" customFormat="false" ht="15" hidden="false" customHeight="false" outlineLevel="0" collapsed="false">
      <c r="I467" s="0" t="str">
        <f aca="false">IF(F467&lt;&gt;"",F467*G467,"")</f>
        <v/>
      </c>
      <c r="J467" s="0" t="str">
        <f aca="false">IF(F467&lt;&gt;"",F467*H467,"")</f>
        <v/>
      </c>
      <c r="K467" s="0" t="str">
        <f aca="false">IF(J467&lt;&gt;"",I467-J467,"")</f>
        <v/>
      </c>
      <c r="L467" s="0" t="str">
        <f aca="false">IF(AND(J467&lt;&gt;"",J467&lt;&gt;0),K467/J467,"")</f>
        <v/>
      </c>
      <c r="M467" s="0" t="str">
        <f aca="false">IF(AND(D467&lt;&gt;"",E467&lt;&gt;""),IF((DATEVALUE(E467)-DATEVALUE(D467))&gt;365,"Long Term","Short Term"),"")</f>
        <v/>
      </c>
    </row>
    <row r="468" customFormat="false" ht="15" hidden="false" customHeight="false" outlineLevel="0" collapsed="false">
      <c r="I468" s="0" t="str">
        <f aca="false">IF(F468&lt;&gt;"",F468*G468,"")</f>
        <v/>
      </c>
      <c r="J468" s="0" t="str">
        <f aca="false">IF(F468&lt;&gt;"",F468*H468,"")</f>
        <v/>
      </c>
      <c r="K468" s="0" t="str">
        <f aca="false">IF(J468&lt;&gt;"",I468-J468,"")</f>
        <v/>
      </c>
      <c r="L468" s="0" t="str">
        <f aca="false">IF(AND(J468&lt;&gt;"",J468&lt;&gt;0),K468/J468,"")</f>
        <v/>
      </c>
      <c r="M468" s="0" t="str">
        <f aca="false">IF(AND(D468&lt;&gt;"",E468&lt;&gt;""),IF((DATEVALUE(E468)-DATEVALUE(D468))&gt;365,"Long Term","Short Term"),"")</f>
        <v/>
      </c>
    </row>
    <row r="469" customFormat="false" ht="15" hidden="false" customHeight="false" outlineLevel="0" collapsed="false">
      <c r="I469" s="0" t="str">
        <f aca="false">IF(F469&lt;&gt;"",F469*G469,"")</f>
        <v/>
      </c>
      <c r="J469" s="0" t="str">
        <f aca="false">IF(F469&lt;&gt;"",F469*H469,"")</f>
        <v/>
      </c>
      <c r="K469" s="0" t="str">
        <f aca="false">IF(J469&lt;&gt;"",I469-J469,"")</f>
        <v/>
      </c>
      <c r="L469" s="0" t="str">
        <f aca="false">IF(AND(J469&lt;&gt;"",J469&lt;&gt;0),K469/J469,"")</f>
        <v/>
      </c>
      <c r="M469" s="0" t="str">
        <f aca="false">IF(AND(D469&lt;&gt;"",E469&lt;&gt;""),IF((DATEVALUE(E469)-DATEVALUE(D469))&gt;365,"Long Term","Short Term"),"")</f>
        <v/>
      </c>
    </row>
    <row r="470" customFormat="false" ht="15" hidden="false" customHeight="false" outlineLevel="0" collapsed="false">
      <c r="I470" s="0" t="str">
        <f aca="false">IF(F470&lt;&gt;"",F470*G470,"")</f>
        <v/>
      </c>
      <c r="J470" s="0" t="str">
        <f aca="false">IF(F470&lt;&gt;"",F470*H470,"")</f>
        <v/>
      </c>
      <c r="K470" s="0" t="str">
        <f aca="false">IF(J470&lt;&gt;"",I470-J470,"")</f>
        <v/>
      </c>
      <c r="L470" s="0" t="str">
        <f aca="false">IF(AND(J470&lt;&gt;"",J470&lt;&gt;0),K470/J470,"")</f>
        <v/>
      </c>
      <c r="M470" s="0" t="str">
        <f aca="false">IF(AND(D470&lt;&gt;"",E470&lt;&gt;""),IF((DATEVALUE(E470)-DATEVALUE(D470))&gt;365,"Long Term","Short Term"),"")</f>
        <v/>
      </c>
    </row>
    <row r="471" customFormat="false" ht="15" hidden="false" customHeight="false" outlineLevel="0" collapsed="false">
      <c r="I471" s="0" t="str">
        <f aca="false">IF(F471&lt;&gt;"",F471*G471,"")</f>
        <v/>
      </c>
      <c r="J471" s="0" t="str">
        <f aca="false">IF(F471&lt;&gt;"",F471*H471,"")</f>
        <v/>
      </c>
      <c r="K471" s="0" t="str">
        <f aca="false">IF(J471&lt;&gt;"",I471-J471,"")</f>
        <v/>
      </c>
      <c r="L471" s="0" t="str">
        <f aca="false">IF(AND(J471&lt;&gt;"",J471&lt;&gt;0),K471/J471,"")</f>
        <v/>
      </c>
      <c r="M471" s="0" t="str">
        <f aca="false">IF(AND(D471&lt;&gt;"",E471&lt;&gt;""),IF((DATEVALUE(E471)-DATEVALUE(D471))&gt;365,"Long Term","Short Term"),"")</f>
        <v/>
      </c>
    </row>
    <row r="472" customFormat="false" ht="15" hidden="false" customHeight="false" outlineLevel="0" collapsed="false">
      <c r="I472" s="0" t="str">
        <f aca="false">IF(F472&lt;&gt;"",F472*G472,"")</f>
        <v/>
      </c>
      <c r="J472" s="0" t="str">
        <f aca="false">IF(F472&lt;&gt;"",F472*H472,"")</f>
        <v/>
      </c>
      <c r="K472" s="0" t="str">
        <f aca="false">IF(J472&lt;&gt;"",I472-J472,"")</f>
        <v/>
      </c>
      <c r="L472" s="0" t="str">
        <f aca="false">IF(AND(J472&lt;&gt;"",J472&lt;&gt;0),K472/J472,"")</f>
        <v/>
      </c>
      <c r="M472" s="0" t="str">
        <f aca="false">IF(AND(D472&lt;&gt;"",E472&lt;&gt;""),IF((DATEVALUE(E472)-DATEVALUE(D472))&gt;365,"Long Term","Short Term"),"")</f>
        <v/>
      </c>
    </row>
    <row r="473" customFormat="false" ht="15" hidden="false" customHeight="false" outlineLevel="0" collapsed="false">
      <c r="I473" s="0" t="str">
        <f aca="false">IF(F473&lt;&gt;"",F473*G473,"")</f>
        <v/>
      </c>
      <c r="J473" s="0" t="str">
        <f aca="false">IF(F473&lt;&gt;"",F473*H473,"")</f>
        <v/>
      </c>
      <c r="K473" s="0" t="str">
        <f aca="false">IF(J473&lt;&gt;"",I473-J473,"")</f>
        <v/>
      </c>
      <c r="L473" s="0" t="str">
        <f aca="false">IF(AND(J473&lt;&gt;"",J473&lt;&gt;0),K473/J473,"")</f>
        <v/>
      </c>
      <c r="M473" s="0" t="str">
        <f aca="false">IF(AND(D473&lt;&gt;"",E473&lt;&gt;""),IF((DATEVALUE(E473)-DATEVALUE(D473))&gt;365,"Long Term","Short Term"),"")</f>
        <v/>
      </c>
    </row>
    <row r="474" customFormat="false" ht="15" hidden="false" customHeight="false" outlineLevel="0" collapsed="false">
      <c r="I474" s="0" t="str">
        <f aca="false">IF(F474&lt;&gt;"",F474*G474,"")</f>
        <v/>
      </c>
      <c r="J474" s="0" t="str">
        <f aca="false">IF(F474&lt;&gt;"",F474*H474,"")</f>
        <v/>
      </c>
      <c r="K474" s="0" t="str">
        <f aca="false">IF(J474&lt;&gt;"",I474-J474,"")</f>
        <v/>
      </c>
      <c r="L474" s="0" t="str">
        <f aca="false">IF(AND(J474&lt;&gt;"",J474&lt;&gt;0),K474/J474,"")</f>
        <v/>
      </c>
      <c r="M474" s="0" t="str">
        <f aca="false">IF(AND(D474&lt;&gt;"",E474&lt;&gt;""),IF((DATEVALUE(E474)-DATEVALUE(D474))&gt;365,"Long Term","Short Term"),"")</f>
        <v/>
      </c>
    </row>
    <row r="475" customFormat="false" ht="15" hidden="false" customHeight="false" outlineLevel="0" collapsed="false">
      <c r="I475" s="0" t="str">
        <f aca="false">IF(F475&lt;&gt;"",F475*G475,"")</f>
        <v/>
      </c>
      <c r="J475" s="0" t="str">
        <f aca="false">IF(F475&lt;&gt;"",F475*H475,"")</f>
        <v/>
      </c>
      <c r="K475" s="0" t="str">
        <f aca="false">IF(J475&lt;&gt;"",I475-J475,"")</f>
        <v/>
      </c>
      <c r="L475" s="0" t="str">
        <f aca="false">IF(AND(J475&lt;&gt;"",J475&lt;&gt;0),K475/J475,"")</f>
        <v/>
      </c>
      <c r="M475" s="0" t="str">
        <f aca="false">IF(AND(D475&lt;&gt;"",E475&lt;&gt;""),IF((DATEVALUE(E475)-DATEVALUE(D475))&gt;365,"Long Term","Short Term"),"")</f>
        <v/>
      </c>
    </row>
    <row r="476" customFormat="false" ht="15" hidden="false" customHeight="false" outlineLevel="0" collapsed="false">
      <c r="I476" s="0" t="str">
        <f aca="false">IF(F476&lt;&gt;"",F476*G476,"")</f>
        <v/>
      </c>
      <c r="J476" s="0" t="str">
        <f aca="false">IF(F476&lt;&gt;"",F476*H476,"")</f>
        <v/>
      </c>
      <c r="K476" s="0" t="str">
        <f aca="false">IF(J476&lt;&gt;"",I476-J476,"")</f>
        <v/>
      </c>
      <c r="L476" s="0" t="str">
        <f aca="false">IF(AND(J476&lt;&gt;"",J476&lt;&gt;0),K476/J476,"")</f>
        <v/>
      </c>
      <c r="M476" s="0" t="str">
        <f aca="false">IF(AND(D476&lt;&gt;"",E476&lt;&gt;""),IF((DATEVALUE(E476)-DATEVALUE(D476))&gt;365,"Long Term","Short Term"),"")</f>
        <v/>
      </c>
    </row>
    <row r="477" customFormat="false" ht="15" hidden="false" customHeight="false" outlineLevel="0" collapsed="false">
      <c r="I477" s="0" t="str">
        <f aca="false">IF(F477&lt;&gt;"",F477*G477,"")</f>
        <v/>
      </c>
      <c r="J477" s="0" t="str">
        <f aca="false">IF(F477&lt;&gt;"",F477*H477,"")</f>
        <v/>
      </c>
      <c r="K477" s="0" t="str">
        <f aca="false">IF(J477&lt;&gt;"",I477-J477,"")</f>
        <v/>
      </c>
      <c r="L477" s="0" t="str">
        <f aca="false">IF(AND(J477&lt;&gt;"",J477&lt;&gt;0),K477/J477,"")</f>
        <v/>
      </c>
      <c r="M477" s="0" t="str">
        <f aca="false">IF(AND(D477&lt;&gt;"",E477&lt;&gt;""),IF((DATEVALUE(E477)-DATEVALUE(D477))&gt;365,"Long Term","Short Term"),"")</f>
        <v/>
      </c>
    </row>
    <row r="478" customFormat="false" ht="15" hidden="false" customHeight="false" outlineLevel="0" collapsed="false">
      <c r="I478" s="0" t="str">
        <f aca="false">IF(F478&lt;&gt;"",F478*G478,"")</f>
        <v/>
      </c>
      <c r="J478" s="0" t="str">
        <f aca="false">IF(F478&lt;&gt;"",F478*H478,"")</f>
        <v/>
      </c>
      <c r="K478" s="0" t="str">
        <f aca="false">IF(J478&lt;&gt;"",I478-J478,"")</f>
        <v/>
      </c>
      <c r="L478" s="0" t="str">
        <f aca="false">IF(AND(J478&lt;&gt;"",J478&lt;&gt;0),K478/J478,"")</f>
        <v/>
      </c>
      <c r="M478" s="0" t="str">
        <f aca="false">IF(AND(D478&lt;&gt;"",E478&lt;&gt;""),IF((DATEVALUE(E478)-DATEVALUE(D478))&gt;365,"Long Term","Short Term"),"")</f>
        <v/>
      </c>
    </row>
    <row r="479" customFormat="false" ht="15" hidden="false" customHeight="false" outlineLevel="0" collapsed="false">
      <c r="I479" s="0" t="str">
        <f aca="false">IF(F479&lt;&gt;"",F479*G479,"")</f>
        <v/>
      </c>
      <c r="J479" s="0" t="str">
        <f aca="false">IF(F479&lt;&gt;"",F479*H479,"")</f>
        <v/>
      </c>
      <c r="K479" s="0" t="str">
        <f aca="false">IF(J479&lt;&gt;"",I479-J479,"")</f>
        <v/>
      </c>
      <c r="L479" s="0" t="str">
        <f aca="false">IF(AND(J479&lt;&gt;"",J479&lt;&gt;0),K479/J479,"")</f>
        <v/>
      </c>
      <c r="M479" s="0" t="str">
        <f aca="false">IF(AND(D479&lt;&gt;"",E479&lt;&gt;""),IF((DATEVALUE(E479)-DATEVALUE(D479))&gt;365,"Long Term","Short Term"),"")</f>
        <v/>
      </c>
    </row>
    <row r="480" customFormat="false" ht="15" hidden="false" customHeight="false" outlineLevel="0" collapsed="false">
      <c r="I480" s="0" t="str">
        <f aca="false">IF(F480&lt;&gt;"",F480*G480,"")</f>
        <v/>
      </c>
      <c r="J480" s="0" t="str">
        <f aca="false">IF(F480&lt;&gt;"",F480*H480,"")</f>
        <v/>
      </c>
      <c r="K480" s="0" t="str">
        <f aca="false">IF(J480&lt;&gt;"",I480-J480,"")</f>
        <v/>
      </c>
      <c r="L480" s="0" t="str">
        <f aca="false">IF(AND(J480&lt;&gt;"",J480&lt;&gt;0),K480/J480,"")</f>
        <v/>
      </c>
      <c r="M480" s="0" t="str">
        <f aca="false">IF(AND(D480&lt;&gt;"",E480&lt;&gt;""),IF((DATEVALUE(E480)-DATEVALUE(D480))&gt;365,"Long Term","Short Term"),"")</f>
        <v/>
      </c>
    </row>
    <row r="481" customFormat="false" ht="15" hidden="false" customHeight="false" outlineLevel="0" collapsed="false">
      <c r="I481" s="0" t="str">
        <f aca="false">IF(F481&lt;&gt;"",F481*G481,"")</f>
        <v/>
      </c>
      <c r="J481" s="0" t="str">
        <f aca="false">IF(F481&lt;&gt;"",F481*H481,"")</f>
        <v/>
      </c>
      <c r="K481" s="0" t="str">
        <f aca="false">IF(J481&lt;&gt;"",I481-J481,"")</f>
        <v/>
      </c>
      <c r="L481" s="0" t="str">
        <f aca="false">IF(AND(J481&lt;&gt;"",J481&lt;&gt;0),K481/J481,"")</f>
        <v/>
      </c>
      <c r="M481" s="0" t="str">
        <f aca="false">IF(AND(D481&lt;&gt;"",E481&lt;&gt;""),IF((DATEVALUE(E481)-DATEVALUE(D481))&gt;365,"Long Term","Short Term"),"")</f>
        <v/>
      </c>
    </row>
    <row r="482" customFormat="false" ht="15" hidden="false" customHeight="false" outlineLevel="0" collapsed="false">
      <c r="I482" s="0" t="str">
        <f aca="false">IF(F482&lt;&gt;"",F482*G482,"")</f>
        <v/>
      </c>
      <c r="J482" s="0" t="str">
        <f aca="false">IF(F482&lt;&gt;"",F482*H482,"")</f>
        <v/>
      </c>
      <c r="K482" s="0" t="str">
        <f aca="false">IF(J482&lt;&gt;"",I482-J482,"")</f>
        <v/>
      </c>
      <c r="L482" s="0" t="str">
        <f aca="false">IF(AND(J482&lt;&gt;"",J482&lt;&gt;0),K482/J482,"")</f>
        <v/>
      </c>
      <c r="M482" s="0" t="str">
        <f aca="false">IF(AND(D482&lt;&gt;"",E482&lt;&gt;""),IF((DATEVALUE(E482)-DATEVALUE(D482))&gt;365,"Long Term","Short Term"),"")</f>
        <v/>
      </c>
    </row>
    <row r="483" customFormat="false" ht="15" hidden="false" customHeight="false" outlineLevel="0" collapsed="false">
      <c r="I483" s="0" t="str">
        <f aca="false">IF(F483&lt;&gt;"",F483*G483,"")</f>
        <v/>
      </c>
      <c r="J483" s="0" t="str">
        <f aca="false">IF(F483&lt;&gt;"",F483*H483,"")</f>
        <v/>
      </c>
      <c r="K483" s="0" t="str">
        <f aca="false">IF(J483&lt;&gt;"",I483-J483,"")</f>
        <v/>
      </c>
      <c r="L483" s="0" t="str">
        <f aca="false">IF(AND(J483&lt;&gt;"",J483&lt;&gt;0),K483/J483,"")</f>
        <v/>
      </c>
      <c r="M483" s="0" t="str">
        <f aca="false">IF(AND(D483&lt;&gt;"",E483&lt;&gt;""),IF((DATEVALUE(E483)-DATEVALUE(D483))&gt;365,"Long Term","Short Term"),"")</f>
        <v/>
      </c>
    </row>
    <row r="484" customFormat="false" ht="15" hidden="false" customHeight="false" outlineLevel="0" collapsed="false">
      <c r="I484" s="0" t="str">
        <f aca="false">IF(F484&lt;&gt;"",F484*G484,"")</f>
        <v/>
      </c>
      <c r="J484" s="0" t="str">
        <f aca="false">IF(F484&lt;&gt;"",F484*H484,"")</f>
        <v/>
      </c>
      <c r="K484" s="0" t="str">
        <f aca="false">IF(J484&lt;&gt;"",I484-J484,"")</f>
        <v/>
      </c>
      <c r="L484" s="0" t="str">
        <f aca="false">IF(AND(J484&lt;&gt;"",J484&lt;&gt;0),K484/J484,"")</f>
        <v/>
      </c>
      <c r="M484" s="0" t="str">
        <f aca="false">IF(AND(D484&lt;&gt;"",E484&lt;&gt;""),IF((DATEVALUE(E484)-DATEVALUE(D484))&gt;365,"Long Term","Short Term"),"")</f>
        <v/>
      </c>
    </row>
    <row r="485" customFormat="false" ht="15" hidden="false" customHeight="false" outlineLevel="0" collapsed="false">
      <c r="I485" s="0" t="str">
        <f aca="false">IF(F485&lt;&gt;"",F485*G485,"")</f>
        <v/>
      </c>
      <c r="J485" s="0" t="str">
        <f aca="false">IF(F485&lt;&gt;"",F485*H485,"")</f>
        <v/>
      </c>
      <c r="K485" s="0" t="str">
        <f aca="false">IF(J485&lt;&gt;"",I485-J485,"")</f>
        <v/>
      </c>
      <c r="L485" s="0" t="str">
        <f aca="false">IF(AND(J485&lt;&gt;"",J485&lt;&gt;0),K485/J485,"")</f>
        <v/>
      </c>
      <c r="M485" s="0" t="str">
        <f aca="false">IF(AND(D485&lt;&gt;"",E485&lt;&gt;""),IF((DATEVALUE(E485)-DATEVALUE(D485))&gt;365,"Long Term","Short Term"),"")</f>
        <v/>
      </c>
    </row>
    <row r="486" customFormat="false" ht="15" hidden="false" customHeight="false" outlineLevel="0" collapsed="false">
      <c r="I486" s="0" t="str">
        <f aca="false">IF(F486&lt;&gt;"",F486*G486,"")</f>
        <v/>
      </c>
      <c r="J486" s="0" t="str">
        <f aca="false">IF(F486&lt;&gt;"",F486*H486,"")</f>
        <v/>
      </c>
      <c r="K486" s="0" t="str">
        <f aca="false">IF(J486&lt;&gt;"",I486-J486,"")</f>
        <v/>
      </c>
      <c r="L486" s="0" t="str">
        <f aca="false">IF(AND(J486&lt;&gt;"",J486&lt;&gt;0),K486/J486,"")</f>
        <v/>
      </c>
      <c r="M486" s="0" t="str">
        <f aca="false">IF(AND(D486&lt;&gt;"",E486&lt;&gt;""),IF((DATEVALUE(E486)-DATEVALUE(D486))&gt;365,"Long Term","Short Term"),"")</f>
        <v/>
      </c>
    </row>
    <row r="487" customFormat="false" ht="15" hidden="false" customHeight="false" outlineLevel="0" collapsed="false">
      <c r="I487" s="0" t="str">
        <f aca="false">IF(F487&lt;&gt;"",F487*G487,"")</f>
        <v/>
      </c>
      <c r="J487" s="0" t="str">
        <f aca="false">IF(F487&lt;&gt;"",F487*H487,"")</f>
        <v/>
      </c>
      <c r="K487" s="0" t="str">
        <f aca="false">IF(J487&lt;&gt;"",I487-J487,"")</f>
        <v/>
      </c>
      <c r="L487" s="0" t="str">
        <f aca="false">IF(AND(J487&lt;&gt;"",J487&lt;&gt;0),K487/J487,"")</f>
        <v/>
      </c>
      <c r="M487" s="0" t="str">
        <f aca="false">IF(AND(D487&lt;&gt;"",E487&lt;&gt;""),IF((DATEVALUE(E487)-DATEVALUE(D487))&gt;365,"Long Term","Short Term"),"")</f>
        <v/>
      </c>
    </row>
    <row r="488" customFormat="false" ht="15" hidden="false" customHeight="false" outlineLevel="0" collapsed="false">
      <c r="I488" s="0" t="str">
        <f aca="false">IF(F488&lt;&gt;"",F488*G488,"")</f>
        <v/>
      </c>
      <c r="J488" s="0" t="str">
        <f aca="false">IF(F488&lt;&gt;"",F488*H488,"")</f>
        <v/>
      </c>
      <c r="K488" s="0" t="str">
        <f aca="false">IF(J488&lt;&gt;"",I488-J488,"")</f>
        <v/>
      </c>
      <c r="L488" s="0" t="str">
        <f aca="false">IF(AND(J488&lt;&gt;"",J488&lt;&gt;0),K488/J488,"")</f>
        <v/>
      </c>
      <c r="M488" s="0" t="str">
        <f aca="false">IF(AND(D488&lt;&gt;"",E488&lt;&gt;""),IF((DATEVALUE(E488)-DATEVALUE(D488))&gt;365,"Long Term","Short Term"),"")</f>
        <v/>
      </c>
    </row>
    <row r="489" customFormat="false" ht="15" hidden="false" customHeight="false" outlineLevel="0" collapsed="false">
      <c r="I489" s="0" t="str">
        <f aca="false">IF(F489&lt;&gt;"",F489*G489,"")</f>
        <v/>
      </c>
      <c r="J489" s="0" t="str">
        <f aca="false">IF(F489&lt;&gt;"",F489*H489,"")</f>
        <v/>
      </c>
      <c r="K489" s="0" t="str">
        <f aca="false">IF(J489&lt;&gt;"",I489-J489,"")</f>
        <v/>
      </c>
      <c r="L489" s="0" t="str">
        <f aca="false">IF(AND(J489&lt;&gt;"",J489&lt;&gt;0),K489/J489,"")</f>
        <v/>
      </c>
      <c r="M489" s="0" t="str">
        <f aca="false">IF(AND(D489&lt;&gt;"",E489&lt;&gt;""),IF((DATEVALUE(E489)-DATEVALUE(D489))&gt;365,"Long Term","Short Term"),"")</f>
        <v/>
      </c>
    </row>
    <row r="490" customFormat="false" ht="15" hidden="false" customHeight="false" outlineLevel="0" collapsed="false">
      <c r="I490" s="0" t="str">
        <f aca="false">IF(F490&lt;&gt;"",F490*G490,"")</f>
        <v/>
      </c>
      <c r="J490" s="0" t="str">
        <f aca="false">IF(F490&lt;&gt;"",F490*H490,"")</f>
        <v/>
      </c>
      <c r="K490" s="0" t="str">
        <f aca="false">IF(J490&lt;&gt;"",I490-J490,"")</f>
        <v/>
      </c>
      <c r="L490" s="0" t="str">
        <f aca="false">IF(AND(J490&lt;&gt;"",J490&lt;&gt;0),K490/J490,"")</f>
        <v/>
      </c>
      <c r="M490" s="0" t="str">
        <f aca="false">IF(AND(D490&lt;&gt;"",E490&lt;&gt;""),IF((DATEVALUE(E490)-DATEVALUE(D490))&gt;365,"Long Term","Short Term"),"")</f>
        <v/>
      </c>
    </row>
    <row r="491" customFormat="false" ht="15" hidden="false" customHeight="false" outlineLevel="0" collapsed="false">
      <c r="I491" s="0" t="str">
        <f aca="false">IF(F491&lt;&gt;"",F491*G491,"")</f>
        <v/>
      </c>
      <c r="J491" s="0" t="str">
        <f aca="false">IF(F491&lt;&gt;"",F491*H491,"")</f>
        <v/>
      </c>
      <c r="K491" s="0" t="str">
        <f aca="false">IF(J491&lt;&gt;"",I491-J491,"")</f>
        <v/>
      </c>
      <c r="L491" s="0" t="str">
        <f aca="false">IF(AND(J491&lt;&gt;"",J491&lt;&gt;0),K491/J491,"")</f>
        <v/>
      </c>
      <c r="M491" s="0" t="str">
        <f aca="false">IF(AND(D491&lt;&gt;"",E491&lt;&gt;""),IF((DATEVALUE(E491)-DATEVALUE(D491))&gt;365,"Long Term","Short Term"),"")</f>
        <v/>
      </c>
    </row>
    <row r="492" customFormat="false" ht="15" hidden="false" customHeight="false" outlineLevel="0" collapsed="false">
      <c r="I492" s="0" t="str">
        <f aca="false">IF(F492&lt;&gt;"",F492*G492,"")</f>
        <v/>
      </c>
      <c r="J492" s="0" t="str">
        <f aca="false">IF(F492&lt;&gt;"",F492*H492,"")</f>
        <v/>
      </c>
      <c r="K492" s="0" t="str">
        <f aca="false">IF(J492&lt;&gt;"",I492-J492,"")</f>
        <v/>
      </c>
      <c r="L492" s="0" t="str">
        <f aca="false">IF(AND(J492&lt;&gt;"",J492&lt;&gt;0),K492/J492,"")</f>
        <v/>
      </c>
      <c r="M492" s="0" t="str">
        <f aca="false">IF(AND(D492&lt;&gt;"",E492&lt;&gt;""),IF((DATEVALUE(E492)-DATEVALUE(D492))&gt;365,"Long Term","Short Term"),"")</f>
        <v/>
      </c>
    </row>
    <row r="493" customFormat="false" ht="15" hidden="false" customHeight="false" outlineLevel="0" collapsed="false">
      <c r="I493" s="0" t="str">
        <f aca="false">IF(F493&lt;&gt;"",F493*G493,"")</f>
        <v/>
      </c>
      <c r="J493" s="0" t="str">
        <f aca="false">IF(F493&lt;&gt;"",F493*H493,"")</f>
        <v/>
      </c>
      <c r="K493" s="0" t="str">
        <f aca="false">IF(J493&lt;&gt;"",I493-J493,"")</f>
        <v/>
      </c>
      <c r="L493" s="0" t="str">
        <f aca="false">IF(AND(J493&lt;&gt;"",J493&lt;&gt;0),K493/J493,"")</f>
        <v/>
      </c>
      <c r="M493" s="0" t="str">
        <f aca="false">IF(AND(D493&lt;&gt;"",E493&lt;&gt;""),IF((DATEVALUE(E493)-DATEVALUE(D493))&gt;365,"Long Term","Short Term"),"")</f>
        <v/>
      </c>
    </row>
    <row r="494" customFormat="false" ht="15" hidden="false" customHeight="false" outlineLevel="0" collapsed="false">
      <c r="I494" s="0" t="str">
        <f aca="false">IF(F494&lt;&gt;"",F494*G494,"")</f>
        <v/>
      </c>
      <c r="J494" s="0" t="str">
        <f aca="false">IF(F494&lt;&gt;"",F494*H494,"")</f>
        <v/>
      </c>
      <c r="K494" s="0" t="str">
        <f aca="false">IF(J494&lt;&gt;"",I494-J494,"")</f>
        <v/>
      </c>
      <c r="L494" s="0" t="str">
        <f aca="false">IF(AND(J494&lt;&gt;"",J494&lt;&gt;0),K494/J494,"")</f>
        <v/>
      </c>
      <c r="M494" s="0" t="str">
        <f aca="false">IF(AND(D494&lt;&gt;"",E494&lt;&gt;""),IF((DATEVALUE(E494)-DATEVALUE(D494))&gt;365,"Long Term","Short Term"),"")</f>
        <v/>
      </c>
    </row>
    <row r="495" customFormat="false" ht="15" hidden="false" customHeight="false" outlineLevel="0" collapsed="false">
      <c r="I495" s="0" t="str">
        <f aca="false">IF(F495&lt;&gt;"",F495*G495,"")</f>
        <v/>
      </c>
      <c r="J495" s="0" t="str">
        <f aca="false">IF(F495&lt;&gt;"",F495*H495,"")</f>
        <v/>
      </c>
      <c r="K495" s="0" t="str">
        <f aca="false">IF(J495&lt;&gt;"",I495-J495,"")</f>
        <v/>
      </c>
      <c r="L495" s="0" t="str">
        <f aca="false">IF(AND(J495&lt;&gt;"",J495&lt;&gt;0),K495/J495,"")</f>
        <v/>
      </c>
      <c r="M495" s="0" t="str">
        <f aca="false">IF(AND(D495&lt;&gt;"",E495&lt;&gt;""),IF((DATEVALUE(E495)-DATEVALUE(D495))&gt;365,"Long Term","Short Term"),"")</f>
        <v/>
      </c>
    </row>
    <row r="496" customFormat="false" ht="15" hidden="false" customHeight="false" outlineLevel="0" collapsed="false">
      <c r="I496" s="0" t="str">
        <f aca="false">IF(F496&lt;&gt;"",F496*G496,"")</f>
        <v/>
      </c>
      <c r="J496" s="0" t="str">
        <f aca="false">IF(F496&lt;&gt;"",F496*H496,"")</f>
        <v/>
      </c>
      <c r="K496" s="0" t="str">
        <f aca="false">IF(J496&lt;&gt;"",I496-J496,"")</f>
        <v/>
      </c>
      <c r="L496" s="0" t="str">
        <f aca="false">IF(AND(J496&lt;&gt;"",J496&lt;&gt;0),K496/J496,"")</f>
        <v/>
      </c>
      <c r="M496" s="0" t="str">
        <f aca="false">IF(AND(D496&lt;&gt;"",E496&lt;&gt;""),IF((DATEVALUE(E496)-DATEVALUE(D496))&gt;365,"Long Term","Short Term"),"")</f>
        <v/>
      </c>
    </row>
    <row r="497" customFormat="false" ht="15" hidden="false" customHeight="false" outlineLevel="0" collapsed="false">
      <c r="I497" s="0" t="str">
        <f aca="false">IF(F497&lt;&gt;"",F497*G497,"")</f>
        <v/>
      </c>
      <c r="J497" s="0" t="str">
        <f aca="false">IF(F497&lt;&gt;"",F497*H497,"")</f>
        <v/>
      </c>
      <c r="K497" s="0" t="str">
        <f aca="false">IF(J497&lt;&gt;"",I497-J497,"")</f>
        <v/>
      </c>
      <c r="L497" s="0" t="str">
        <f aca="false">IF(AND(J497&lt;&gt;"",J497&lt;&gt;0),K497/J497,"")</f>
        <v/>
      </c>
      <c r="M497" s="0" t="str">
        <f aca="false">IF(AND(D497&lt;&gt;"",E497&lt;&gt;""),IF((DATEVALUE(E497)-DATEVALUE(D497))&gt;365,"Long Term","Short Term"),"")</f>
        <v/>
      </c>
    </row>
    <row r="498" customFormat="false" ht="15" hidden="false" customHeight="false" outlineLevel="0" collapsed="false">
      <c r="I498" s="0" t="str">
        <f aca="false">IF(F498&lt;&gt;"",F498*G498,"")</f>
        <v/>
      </c>
      <c r="J498" s="0" t="str">
        <f aca="false">IF(F498&lt;&gt;"",F498*H498,"")</f>
        <v/>
      </c>
      <c r="K498" s="0" t="str">
        <f aca="false">IF(J498&lt;&gt;"",I498-J498,"")</f>
        <v/>
      </c>
      <c r="L498" s="0" t="str">
        <f aca="false">IF(AND(J498&lt;&gt;"",J498&lt;&gt;0),K498/J498,"")</f>
        <v/>
      </c>
      <c r="M498" s="0" t="str">
        <f aca="false">IF(AND(D498&lt;&gt;"",E498&lt;&gt;""),IF((DATEVALUE(E498)-DATEVALUE(D498))&gt;365,"Long Term","Short Term"),"")</f>
        <v/>
      </c>
    </row>
    <row r="499" customFormat="false" ht="15" hidden="false" customHeight="false" outlineLevel="0" collapsed="false">
      <c r="I499" s="0" t="str">
        <f aca="false">IF(F499&lt;&gt;"",F499*G499,"")</f>
        <v/>
      </c>
      <c r="J499" s="0" t="str">
        <f aca="false">IF(F499&lt;&gt;"",F499*H499,"")</f>
        <v/>
      </c>
      <c r="K499" s="0" t="str">
        <f aca="false">IF(J499&lt;&gt;"",I499-J499,"")</f>
        <v/>
      </c>
      <c r="L499" s="0" t="str">
        <f aca="false">IF(AND(J499&lt;&gt;"",J499&lt;&gt;0),K499/J499,"")</f>
        <v/>
      </c>
      <c r="M499" s="0" t="str">
        <f aca="false">IF(AND(D499&lt;&gt;"",E499&lt;&gt;""),IF((DATEVALUE(E499)-DATEVALUE(D499))&gt;365,"Long Term","Short Term"),"")</f>
        <v/>
      </c>
    </row>
    <row r="500" customFormat="false" ht="15" hidden="false" customHeight="false" outlineLevel="0" collapsed="false">
      <c r="I500" s="0" t="str">
        <f aca="false">IF(F500&lt;&gt;"",F500*G500,"")</f>
        <v/>
      </c>
      <c r="J500" s="0" t="str">
        <f aca="false">IF(F500&lt;&gt;"",F500*H500,"")</f>
        <v/>
      </c>
      <c r="K500" s="0" t="str">
        <f aca="false">IF(J500&lt;&gt;"",I500-J500,"")</f>
        <v/>
      </c>
      <c r="L500" s="0" t="str">
        <f aca="false">IF(AND(J500&lt;&gt;"",J500&lt;&gt;0),K500/J500,"")</f>
        <v/>
      </c>
      <c r="M500" s="0" t="str">
        <f aca="false">IF(AND(D500&lt;&gt;"",E500&lt;&gt;""),IF((DATEVALUE(E500)-DATEVALUE(D500))&gt;365,"Long Term","Short Term"),"")</f>
        <v/>
      </c>
    </row>
  </sheetData>
  <conditionalFormatting sqref="K2:K500">
    <cfRule type="cellIs" priority="2" operator="greaterThan" aboveAverage="0" equalAverage="0" bottom="0" percent="0" rank="0" text="" dxfId="4">
      <formula>0</formula>
    </cfRule>
    <cfRule type="cellIs" priority="3" operator="lessThan" aboveAverage="0" equalAverage="0" bottom="0" percent="0" rank="0" text="" dxfId="5">
      <formula>0</formula>
    </cfRule>
  </conditionalFormatting>
  <dataValidations count="2">
    <dataValidation allowBlank="true" errorStyle="stop" operator="between" showDropDown="false" showErrorMessage="false" showInputMessage="false" sqref="C2:C500" type="list">
      <formula1>"Individual,Rollover IRA,Roth IRA,Other"</formula1>
      <formula2>0</formula2>
    </dataValidation>
    <dataValidation allowBlank="true" errorStyle="stop" operator="between" showDropDown="false" showErrorMessage="false" showInputMessage="false" sqref="M2:M500" type="list">
      <formula1>"Short Term,Long Term"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35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4" t="s">
        <v>35</v>
      </c>
      <c r="B1" s="4" t="s">
        <v>36</v>
      </c>
      <c r="C1" s="4" t="s">
        <v>12</v>
      </c>
      <c r="D1" s="4" t="s">
        <v>40</v>
      </c>
      <c r="E1" s="4" t="s">
        <v>102</v>
      </c>
      <c r="F1" s="4" t="s">
        <v>103</v>
      </c>
      <c r="G1" s="4" t="s">
        <v>47</v>
      </c>
      <c r="H1" s="4" t="s">
        <v>104</v>
      </c>
      <c r="I1" s="4" t="s">
        <v>105</v>
      </c>
      <c r="J1" s="4" t="s">
        <v>106</v>
      </c>
    </row>
    <row r="2" customFormat="false" ht="15" hidden="false" customHeight="false" outlineLevel="0" collapsed="false">
      <c r="A2" s="8" t="s">
        <v>107</v>
      </c>
      <c r="B2" s="8" t="s">
        <v>108</v>
      </c>
      <c r="C2" s="8" t="s">
        <v>15</v>
      </c>
      <c r="D2" s="6" t="e">
        <f aca="false">googlefinance(A2,"price")</f>
        <v>#NAME?</v>
      </c>
      <c r="E2" s="6" t="n">
        <v>120</v>
      </c>
      <c r="F2" s="7" t="e">
        <f aca="false">IF(D2&lt;&gt;0,(D2-E2)/D2,0)</f>
        <v>#NAME?</v>
      </c>
      <c r="G2" s="8" t="s">
        <v>109</v>
      </c>
      <c r="H2" s="8" t="s">
        <v>110</v>
      </c>
      <c r="I2" s="11" t="s">
        <v>111</v>
      </c>
      <c r="J2" s="8" t="s">
        <v>112</v>
      </c>
    </row>
    <row r="3" customFormat="false" ht="15" hidden="false" customHeight="false" outlineLevel="0" collapsed="false">
      <c r="A3" s="8" t="s">
        <v>113</v>
      </c>
      <c r="B3" s="8" t="s">
        <v>114</v>
      </c>
      <c r="C3" s="8" t="s">
        <v>18</v>
      </c>
      <c r="D3" s="6" t="e">
        <f aca="false">googlefinance(A3,"price")</f>
        <v>#NAME?</v>
      </c>
      <c r="E3" s="6" t="n">
        <v>480</v>
      </c>
      <c r="F3" s="7" t="e">
        <f aca="false">IF(D3&lt;&gt;0,(D3-E3)/D3,0)</f>
        <v>#NAME?</v>
      </c>
      <c r="G3" s="8" t="s">
        <v>115</v>
      </c>
      <c r="H3" s="8" t="s">
        <v>116</v>
      </c>
      <c r="I3" s="11" t="s">
        <v>117</v>
      </c>
      <c r="J3" s="8" t="s">
        <v>118</v>
      </c>
    </row>
    <row r="4" customFormat="false" ht="15" hidden="false" customHeight="false" outlineLevel="0" collapsed="false">
      <c r="A4" s="8" t="s">
        <v>119</v>
      </c>
      <c r="B4" s="8" t="s">
        <v>120</v>
      </c>
      <c r="C4" s="8" t="s">
        <v>20</v>
      </c>
      <c r="D4" s="6" t="e">
        <f aca="false">googlefinance(A4,"price")</f>
        <v>#NAME?</v>
      </c>
      <c r="E4" s="6" t="n">
        <v>155</v>
      </c>
      <c r="F4" s="7" t="e">
        <f aca="false">IF(D4&lt;&gt;0,(D4-E4)/D4,0)</f>
        <v>#NAME?</v>
      </c>
      <c r="G4" s="8" t="s">
        <v>121</v>
      </c>
      <c r="H4" s="8" t="s">
        <v>122</v>
      </c>
      <c r="I4" s="11" t="s">
        <v>111</v>
      </c>
      <c r="J4" s="8" t="s">
        <v>95</v>
      </c>
    </row>
    <row r="5" customFormat="false" ht="15" hidden="false" customHeight="false" outlineLevel="0" collapsed="false">
      <c r="D5" s="0" t="str">
        <f aca="false">IF(A5&lt;&gt;"",googlefinance(A5,"price"),"")</f>
        <v/>
      </c>
      <c r="F5" s="0" t="str">
        <f aca="false">IF(AND(D5&lt;&gt;"",E5&lt;&gt;""),(D5-E5)/D5,"")</f>
        <v/>
      </c>
    </row>
    <row r="6" customFormat="false" ht="15" hidden="false" customHeight="false" outlineLevel="0" collapsed="false">
      <c r="D6" s="0" t="str">
        <f aca="false">IF(A6&lt;&gt;"",googlefinance(A6,"price"),"")</f>
        <v/>
      </c>
      <c r="F6" s="0" t="str">
        <f aca="false">IF(AND(D6&lt;&gt;"",E6&lt;&gt;""),(D6-E6)/D6,"")</f>
        <v/>
      </c>
    </row>
    <row r="7" customFormat="false" ht="15" hidden="false" customHeight="false" outlineLevel="0" collapsed="false">
      <c r="D7" s="0" t="str">
        <f aca="false">IF(A7&lt;&gt;"",googlefinance(A7,"price"),"")</f>
        <v/>
      </c>
      <c r="F7" s="0" t="str">
        <f aca="false">IF(AND(D7&lt;&gt;"",E7&lt;&gt;""),(D7-E7)/D7,"")</f>
        <v/>
      </c>
    </row>
    <row r="8" customFormat="false" ht="15" hidden="false" customHeight="false" outlineLevel="0" collapsed="false">
      <c r="D8" s="0" t="str">
        <f aca="false">IF(A8&lt;&gt;"",googlefinance(A8,"price"),"")</f>
        <v/>
      </c>
      <c r="F8" s="0" t="str">
        <f aca="false">IF(AND(D8&lt;&gt;"",E8&lt;&gt;""),(D8-E8)/D8,"")</f>
        <v/>
      </c>
    </row>
    <row r="9" customFormat="false" ht="15" hidden="false" customHeight="false" outlineLevel="0" collapsed="false">
      <c r="D9" s="0" t="str">
        <f aca="false">IF(A9&lt;&gt;"",googlefinance(A9,"price"),"")</f>
        <v/>
      </c>
      <c r="F9" s="0" t="str">
        <f aca="false">IF(AND(D9&lt;&gt;"",E9&lt;&gt;""),(D9-E9)/D9,"")</f>
        <v/>
      </c>
    </row>
    <row r="10" customFormat="false" ht="15" hidden="false" customHeight="false" outlineLevel="0" collapsed="false">
      <c r="D10" s="0" t="str">
        <f aca="false">IF(A10&lt;&gt;"",googlefinance(A10,"price"),"")</f>
        <v/>
      </c>
      <c r="F10" s="0" t="str">
        <f aca="false">IF(AND(D10&lt;&gt;"",E10&lt;&gt;""),(D10-E10)/D10,"")</f>
        <v/>
      </c>
    </row>
    <row r="11" customFormat="false" ht="15" hidden="false" customHeight="false" outlineLevel="0" collapsed="false">
      <c r="D11" s="0" t="str">
        <f aca="false">IF(A11&lt;&gt;"",googlefinance(A11,"price"),"")</f>
        <v/>
      </c>
      <c r="F11" s="0" t="str">
        <f aca="false">IF(AND(D11&lt;&gt;"",E11&lt;&gt;""),(D11-E11)/D11,"")</f>
        <v/>
      </c>
    </row>
    <row r="12" customFormat="false" ht="15" hidden="false" customHeight="false" outlineLevel="0" collapsed="false">
      <c r="D12" s="0" t="str">
        <f aca="false">IF(A12&lt;&gt;"",googlefinance(A12,"price"),"")</f>
        <v/>
      </c>
      <c r="F12" s="0" t="str">
        <f aca="false">IF(AND(D12&lt;&gt;"",E12&lt;&gt;""),(D12-E12)/D12,"")</f>
        <v/>
      </c>
    </row>
    <row r="13" customFormat="false" ht="15" hidden="false" customHeight="false" outlineLevel="0" collapsed="false">
      <c r="D13" s="0" t="str">
        <f aca="false">IF(A13&lt;&gt;"",googlefinance(A13,"price"),"")</f>
        <v/>
      </c>
      <c r="F13" s="0" t="str">
        <f aca="false">IF(AND(D13&lt;&gt;"",E13&lt;&gt;""),(D13-E13)/D13,"")</f>
        <v/>
      </c>
    </row>
    <row r="14" customFormat="false" ht="15" hidden="false" customHeight="false" outlineLevel="0" collapsed="false">
      <c r="D14" s="0" t="str">
        <f aca="false">IF(A14&lt;&gt;"",googlefinance(A14,"price"),"")</f>
        <v/>
      </c>
      <c r="F14" s="0" t="str">
        <f aca="false">IF(AND(D14&lt;&gt;"",E14&lt;&gt;""),(D14-E14)/D14,"")</f>
        <v/>
      </c>
    </row>
    <row r="15" customFormat="false" ht="15" hidden="false" customHeight="false" outlineLevel="0" collapsed="false">
      <c r="D15" s="0" t="str">
        <f aca="false">IF(A15&lt;&gt;"",googlefinance(A15,"price"),"")</f>
        <v/>
      </c>
      <c r="F15" s="0" t="str">
        <f aca="false">IF(AND(D15&lt;&gt;"",E15&lt;&gt;""),(D15-E15)/D15,"")</f>
        <v/>
      </c>
    </row>
    <row r="16" customFormat="false" ht="15" hidden="false" customHeight="false" outlineLevel="0" collapsed="false">
      <c r="D16" s="0" t="str">
        <f aca="false">IF(A16&lt;&gt;"",googlefinance(A16,"price"),"")</f>
        <v/>
      </c>
      <c r="F16" s="0" t="str">
        <f aca="false">IF(AND(D16&lt;&gt;"",E16&lt;&gt;""),(D16-E16)/D16,"")</f>
        <v/>
      </c>
    </row>
    <row r="17" customFormat="false" ht="15" hidden="false" customHeight="false" outlineLevel="0" collapsed="false">
      <c r="D17" s="0" t="str">
        <f aca="false">IF(A17&lt;&gt;"",googlefinance(A17,"price"),"")</f>
        <v/>
      </c>
      <c r="F17" s="0" t="str">
        <f aca="false">IF(AND(D17&lt;&gt;"",E17&lt;&gt;""),(D17-E17)/D17,"")</f>
        <v/>
      </c>
    </row>
    <row r="18" customFormat="false" ht="15" hidden="false" customHeight="false" outlineLevel="0" collapsed="false">
      <c r="D18" s="0" t="str">
        <f aca="false">IF(A18&lt;&gt;"",googlefinance(A18,"price"),"")</f>
        <v/>
      </c>
      <c r="F18" s="0" t="str">
        <f aca="false">IF(AND(D18&lt;&gt;"",E18&lt;&gt;""),(D18-E18)/D18,"")</f>
        <v/>
      </c>
    </row>
    <row r="19" customFormat="false" ht="15" hidden="false" customHeight="false" outlineLevel="0" collapsed="false">
      <c r="D19" s="0" t="str">
        <f aca="false">IF(A19&lt;&gt;"",googlefinance(A19,"price"),"")</f>
        <v/>
      </c>
      <c r="F19" s="0" t="str">
        <f aca="false">IF(AND(D19&lt;&gt;"",E19&lt;&gt;""),(D19-E19)/D19,"")</f>
        <v/>
      </c>
    </row>
    <row r="20" customFormat="false" ht="15" hidden="false" customHeight="false" outlineLevel="0" collapsed="false">
      <c r="D20" s="0" t="str">
        <f aca="false">IF(A20&lt;&gt;"",googlefinance(A20,"price"),"")</f>
        <v/>
      </c>
      <c r="F20" s="0" t="str">
        <f aca="false">IF(AND(D20&lt;&gt;"",E20&lt;&gt;""),(D20-E20)/D20,"")</f>
        <v/>
      </c>
    </row>
    <row r="21" customFormat="false" ht="15" hidden="false" customHeight="false" outlineLevel="0" collapsed="false">
      <c r="D21" s="0" t="str">
        <f aca="false">IF(A21&lt;&gt;"",googlefinance(A21,"price"),"")</f>
        <v/>
      </c>
      <c r="F21" s="0" t="str">
        <f aca="false">IF(AND(D21&lt;&gt;"",E21&lt;&gt;""),(D21-E21)/D21,"")</f>
        <v/>
      </c>
    </row>
    <row r="22" customFormat="false" ht="15" hidden="false" customHeight="false" outlineLevel="0" collapsed="false">
      <c r="D22" s="0" t="str">
        <f aca="false">IF(A22&lt;&gt;"",googlefinance(A22,"price"),"")</f>
        <v/>
      </c>
      <c r="F22" s="0" t="str">
        <f aca="false">IF(AND(D22&lt;&gt;"",E22&lt;&gt;""),(D22-E22)/D22,"")</f>
        <v/>
      </c>
    </row>
    <row r="23" customFormat="false" ht="15" hidden="false" customHeight="false" outlineLevel="0" collapsed="false">
      <c r="D23" s="0" t="str">
        <f aca="false">IF(A23&lt;&gt;"",googlefinance(A23,"price"),"")</f>
        <v/>
      </c>
      <c r="F23" s="0" t="str">
        <f aca="false">IF(AND(D23&lt;&gt;"",E23&lt;&gt;""),(D23-E23)/D23,"")</f>
        <v/>
      </c>
    </row>
    <row r="24" customFormat="false" ht="15" hidden="false" customHeight="false" outlineLevel="0" collapsed="false">
      <c r="D24" s="0" t="str">
        <f aca="false">IF(A24&lt;&gt;"",googlefinance(A24,"price"),"")</f>
        <v/>
      </c>
      <c r="F24" s="0" t="str">
        <f aca="false">IF(AND(D24&lt;&gt;"",E24&lt;&gt;""),(D24-E24)/D24,"")</f>
        <v/>
      </c>
    </row>
    <row r="25" customFormat="false" ht="15" hidden="false" customHeight="false" outlineLevel="0" collapsed="false">
      <c r="D25" s="0" t="str">
        <f aca="false">IF(A25&lt;&gt;"",googlefinance(A25,"price"),"")</f>
        <v/>
      </c>
      <c r="F25" s="0" t="str">
        <f aca="false">IF(AND(D25&lt;&gt;"",E25&lt;&gt;""),(D25-E25)/D25,"")</f>
        <v/>
      </c>
    </row>
    <row r="26" customFormat="false" ht="15" hidden="false" customHeight="false" outlineLevel="0" collapsed="false">
      <c r="D26" s="0" t="str">
        <f aca="false">IF(A26&lt;&gt;"",googlefinance(A26,"price"),"")</f>
        <v/>
      </c>
      <c r="F26" s="0" t="str">
        <f aca="false">IF(AND(D26&lt;&gt;"",E26&lt;&gt;""),(D26-E26)/D26,"")</f>
        <v/>
      </c>
    </row>
    <row r="27" customFormat="false" ht="15" hidden="false" customHeight="false" outlineLevel="0" collapsed="false">
      <c r="D27" s="0" t="str">
        <f aca="false">IF(A27&lt;&gt;"",googlefinance(A27,"price"),"")</f>
        <v/>
      </c>
      <c r="F27" s="0" t="str">
        <f aca="false">IF(AND(D27&lt;&gt;"",E27&lt;&gt;""),(D27-E27)/D27,"")</f>
        <v/>
      </c>
    </row>
    <row r="28" customFormat="false" ht="15" hidden="false" customHeight="false" outlineLevel="0" collapsed="false">
      <c r="D28" s="0" t="str">
        <f aca="false">IF(A28&lt;&gt;"",googlefinance(A28,"price"),"")</f>
        <v/>
      </c>
      <c r="F28" s="0" t="str">
        <f aca="false">IF(AND(D28&lt;&gt;"",E28&lt;&gt;""),(D28-E28)/D28,"")</f>
        <v/>
      </c>
    </row>
    <row r="29" customFormat="false" ht="15" hidden="false" customHeight="false" outlineLevel="0" collapsed="false">
      <c r="D29" s="0" t="str">
        <f aca="false">IF(A29&lt;&gt;"",googlefinance(A29,"price"),"")</f>
        <v/>
      </c>
      <c r="F29" s="0" t="str">
        <f aca="false">IF(AND(D29&lt;&gt;"",E29&lt;&gt;""),(D29-E29)/D29,"")</f>
        <v/>
      </c>
    </row>
    <row r="30" customFormat="false" ht="15" hidden="false" customHeight="false" outlineLevel="0" collapsed="false">
      <c r="D30" s="0" t="str">
        <f aca="false">IF(A30&lt;&gt;"",googlefinance(A30,"price"),"")</f>
        <v/>
      </c>
      <c r="F30" s="0" t="str">
        <f aca="false">IF(AND(D30&lt;&gt;"",E30&lt;&gt;""),(D30-E30)/D30,"")</f>
        <v/>
      </c>
    </row>
    <row r="31" customFormat="false" ht="15" hidden="false" customHeight="false" outlineLevel="0" collapsed="false">
      <c r="D31" s="0" t="str">
        <f aca="false">IF(A31&lt;&gt;"",googlefinance(A31,"price"),"")</f>
        <v/>
      </c>
      <c r="F31" s="0" t="str">
        <f aca="false">IF(AND(D31&lt;&gt;"",E31&lt;&gt;""),(D31-E31)/D31,"")</f>
        <v/>
      </c>
    </row>
    <row r="32" customFormat="false" ht="15" hidden="false" customHeight="false" outlineLevel="0" collapsed="false">
      <c r="D32" s="0" t="str">
        <f aca="false">IF(A32&lt;&gt;"",googlefinance(A32,"price"),"")</f>
        <v/>
      </c>
      <c r="F32" s="0" t="str">
        <f aca="false">IF(AND(D32&lt;&gt;"",E32&lt;&gt;""),(D32-E32)/D32,"")</f>
        <v/>
      </c>
    </row>
    <row r="33" customFormat="false" ht="15" hidden="false" customHeight="false" outlineLevel="0" collapsed="false">
      <c r="D33" s="0" t="str">
        <f aca="false">IF(A33&lt;&gt;"",googlefinance(A33,"price"),"")</f>
        <v/>
      </c>
      <c r="F33" s="0" t="str">
        <f aca="false">IF(AND(D33&lt;&gt;"",E33&lt;&gt;""),(D33-E33)/D33,"")</f>
        <v/>
      </c>
    </row>
    <row r="34" customFormat="false" ht="15" hidden="false" customHeight="false" outlineLevel="0" collapsed="false">
      <c r="D34" s="0" t="str">
        <f aca="false">IF(A34&lt;&gt;"",googlefinance(A34,"price"),"")</f>
        <v/>
      </c>
      <c r="F34" s="0" t="str">
        <f aca="false">IF(AND(D34&lt;&gt;"",E34&lt;&gt;""),(D34-E34)/D34,"")</f>
        <v/>
      </c>
    </row>
    <row r="35" customFormat="false" ht="15" hidden="false" customHeight="false" outlineLevel="0" collapsed="false">
      <c r="D35" s="0" t="str">
        <f aca="false">IF(A35&lt;&gt;"",googlefinance(A35,"price"),"")</f>
        <v/>
      </c>
      <c r="F35" s="0" t="str">
        <f aca="false">IF(AND(D35&lt;&gt;"",E35&lt;&gt;""),(D35-E35)/D35,"")</f>
        <v/>
      </c>
    </row>
    <row r="36" customFormat="false" ht="15" hidden="false" customHeight="false" outlineLevel="0" collapsed="false">
      <c r="D36" s="0" t="str">
        <f aca="false">IF(A36&lt;&gt;"",googlefinance(A36,"price"),"")</f>
        <v/>
      </c>
      <c r="F36" s="0" t="str">
        <f aca="false">IF(AND(D36&lt;&gt;"",E36&lt;&gt;""),(D36-E36)/D36,"")</f>
        <v/>
      </c>
    </row>
    <row r="37" customFormat="false" ht="15" hidden="false" customHeight="false" outlineLevel="0" collapsed="false">
      <c r="D37" s="0" t="str">
        <f aca="false">IF(A37&lt;&gt;"",googlefinance(A37,"price"),"")</f>
        <v/>
      </c>
      <c r="F37" s="0" t="str">
        <f aca="false">IF(AND(D37&lt;&gt;"",E37&lt;&gt;""),(D37-E37)/D37,"")</f>
        <v/>
      </c>
    </row>
    <row r="38" customFormat="false" ht="15" hidden="false" customHeight="false" outlineLevel="0" collapsed="false">
      <c r="D38" s="0" t="str">
        <f aca="false">IF(A38&lt;&gt;"",googlefinance(A38,"price"),"")</f>
        <v/>
      </c>
      <c r="F38" s="0" t="str">
        <f aca="false">IF(AND(D38&lt;&gt;"",E38&lt;&gt;""),(D38-E38)/D38,"")</f>
        <v/>
      </c>
    </row>
    <row r="39" customFormat="false" ht="15" hidden="false" customHeight="false" outlineLevel="0" collapsed="false">
      <c r="D39" s="0" t="str">
        <f aca="false">IF(A39&lt;&gt;"",googlefinance(A39,"price"),"")</f>
        <v/>
      </c>
      <c r="F39" s="0" t="str">
        <f aca="false">IF(AND(D39&lt;&gt;"",E39&lt;&gt;""),(D39-E39)/D39,"")</f>
        <v/>
      </c>
    </row>
    <row r="40" customFormat="false" ht="15" hidden="false" customHeight="false" outlineLevel="0" collapsed="false">
      <c r="D40" s="0" t="str">
        <f aca="false">IF(A40&lt;&gt;"",googlefinance(A40,"price"),"")</f>
        <v/>
      </c>
      <c r="F40" s="0" t="str">
        <f aca="false">IF(AND(D40&lt;&gt;"",E40&lt;&gt;""),(D40-E40)/D40,"")</f>
        <v/>
      </c>
    </row>
    <row r="41" customFormat="false" ht="15" hidden="false" customHeight="false" outlineLevel="0" collapsed="false">
      <c r="D41" s="0" t="str">
        <f aca="false">IF(A41&lt;&gt;"",googlefinance(A41,"price"),"")</f>
        <v/>
      </c>
      <c r="F41" s="0" t="str">
        <f aca="false">IF(AND(D41&lt;&gt;"",E41&lt;&gt;""),(D41-E41)/D41,"")</f>
        <v/>
      </c>
    </row>
    <row r="42" customFormat="false" ht="15" hidden="false" customHeight="false" outlineLevel="0" collapsed="false">
      <c r="D42" s="0" t="str">
        <f aca="false">IF(A42&lt;&gt;"",googlefinance(A42,"price"),"")</f>
        <v/>
      </c>
      <c r="F42" s="0" t="str">
        <f aca="false">IF(AND(D42&lt;&gt;"",E42&lt;&gt;""),(D42-E42)/D42,"")</f>
        <v/>
      </c>
    </row>
    <row r="43" customFormat="false" ht="15" hidden="false" customHeight="false" outlineLevel="0" collapsed="false">
      <c r="D43" s="0" t="str">
        <f aca="false">IF(A43&lt;&gt;"",googlefinance(A43,"price"),"")</f>
        <v/>
      </c>
      <c r="F43" s="0" t="str">
        <f aca="false">IF(AND(D43&lt;&gt;"",E43&lt;&gt;""),(D43-E43)/D43,"")</f>
        <v/>
      </c>
    </row>
    <row r="44" customFormat="false" ht="15" hidden="false" customHeight="false" outlineLevel="0" collapsed="false">
      <c r="D44" s="0" t="str">
        <f aca="false">IF(A44&lt;&gt;"",googlefinance(A44,"price"),"")</f>
        <v/>
      </c>
      <c r="F44" s="0" t="str">
        <f aca="false">IF(AND(D44&lt;&gt;"",E44&lt;&gt;""),(D44-E44)/D44,"")</f>
        <v/>
      </c>
    </row>
    <row r="45" customFormat="false" ht="15" hidden="false" customHeight="false" outlineLevel="0" collapsed="false">
      <c r="D45" s="0" t="str">
        <f aca="false">IF(A45&lt;&gt;"",googlefinance(A45,"price"),"")</f>
        <v/>
      </c>
      <c r="F45" s="0" t="str">
        <f aca="false">IF(AND(D45&lt;&gt;"",E45&lt;&gt;""),(D45-E45)/D45,"")</f>
        <v/>
      </c>
    </row>
    <row r="46" customFormat="false" ht="15" hidden="false" customHeight="false" outlineLevel="0" collapsed="false">
      <c r="D46" s="0" t="str">
        <f aca="false">IF(A46&lt;&gt;"",googlefinance(A46,"price"),"")</f>
        <v/>
      </c>
      <c r="F46" s="0" t="str">
        <f aca="false">IF(AND(D46&lt;&gt;"",E46&lt;&gt;""),(D46-E46)/D46,"")</f>
        <v/>
      </c>
    </row>
    <row r="47" customFormat="false" ht="15" hidden="false" customHeight="false" outlineLevel="0" collapsed="false">
      <c r="D47" s="0" t="str">
        <f aca="false">IF(A47&lt;&gt;"",googlefinance(A47,"price"),"")</f>
        <v/>
      </c>
      <c r="F47" s="0" t="str">
        <f aca="false">IF(AND(D47&lt;&gt;"",E47&lt;&gt;""),(D47-E47)/D47,"")</f>
        <v/>
      </c>
    </row>
    <row r="48" customFormat="false" ht="15" hidden="false" customHeight="false" outlineLevel="0" collapsed="false">
      <c r="D48" s="0" t="str">
        <f aca="false">IF(A48&lt;&gt;"",googlefinance(A48,"price"),"")</f>
        <v/>
      </c>
      <c r="F48" s="0" t="str">
        <f aca="false">IF(AND(D48&lt;&gt;"",E48&lt;&gt;""),(D48-E48)/D48,"")</f>
        <v/>
      </c>
    </row>
    <row r="49" customFormat="false" ht="15" hidden="false" customHeight="false" outlineLevel="0" collapsed="false">
      <c r="D49" s="0" t="str">
        <f aca="false">IF(A49&lt;&gt;"",googlefinance(A49,"price"),"")</f>
        <v/>
      </c>
      <c r="F49" s="0" t="str">
        <f aca="false">IF(AND(D49&lt;&gt;"",E49&lt;&gt;""),(D49-E49)/D49,"")</f>
        <v/>
      </c>
    </row>
    <row r="50" customFormat="false" ht="15" hidden="false" customHeight="false" outlineLevel="0" collapsed="false">
      <c r="D50" s="0" t="str">
        <f aca="false">IF(A50&lt;&gt;"",googlefinance(A50,"price"),"")</f>
        <v/>
      </c>
      <c r="F50" s="0" t="str">
        <f aca="false">IF(AND(D50&lt;&gt;"",E50&lt;&gt;""),(D50-E50)/D50,"")</f>
        <v/>
      </c>
    </row>
    <row r="51" customFormat="false" ht="15" hidden="false" customHeight="false" outlineLevel="0" collapsed="false">
      <c r="D51" s="0" t="str">
        <f aca="false">IF(A51&lt;&gt;"",googlefinance(A51,"price"),"")</f>
        <v/>
      </c>
      <c r="F51" s="0" t="str">
        <f aca="false">IF(AND(D51&lt;&gt;"",E51&lt;&gt;""),(D51-E51)/D51,"")</f>
        <v/>
      </c>
    </row>
    <row r="52" customFormat="false" ht="15" hidden="false" customHeight="false" outlineLevel="0" collapsed="false">
      <c r="D52" s="0" t="str">
        <f aca="false">IF(A52&lt;&gt;"",googlefinance(A52,"price"),"")</f>
        <v/>
      </c>
      <c r="F52" s="0" t="str">
        <f aca="false">IF(AND(D52&lt;&gt;"",E52&lt;&gt;""),(D52-E52)/D52,"")</f>
        <v/>
      </c>
    </row>
    <row r="53" customFormat="false" ht="15" hidden="false" customHeight="false" outlineLevel="0" collapsed="false">
      <c r="D53" s="0" t="str">
        <f aca="false">IF(A53&lt;&gt;"",googlefinance(A53,"price"),"")</f>
        <v/>
      </c>
      <c r="F53" s="0" t="str">
        <f aca="false">IF(AND(D53&lt;&gt;"",E53&lt;&gt;""),(D53-E53)/D53,"")</f>
        <v/>
      </c>
    </row>
    <row r="54" customFormat="false" ht="15" hidden="false" customHeight="false" outlineLevel="0" collapsed="false">
      <c r="D54" s="0" t="str">
        <f aca="false">IF(A54&lt;&gt;"",googlefinance(A54,"price"),"")</f>
        <v/>
      </c>
      <c r="F54" s="0" t="str">
        <f aca="false">IF(AND(D54&lt;&gt;"",E54&lt;&gt;""),(D54-E54)/D54,"")</f>
        <v/>
      </c>
    </row>
    <row r="55" customFormat="false" ht="15" hidden="false" customHeight="false" outlineLevel="0" collapsed="false">
      <c r="D55" s="0" t="str">
        <f aca="false">IF(A55&lt;&gt;"",googlefinance(A55,"price"),"")</f>
        <v/>
      </c>
      <c r="F55" s="0" t="str">
        <f aca="false">IF(AND(D55&lt;&gt;"",E55&lt;&gt;""),(D55-E55)/D55,"")</f>
        <v/>
      </c>
    </row>
    <row r="56" customFormat="false" ht="15" hidden="false" customHeight="false" outlineLevel="0" collapsed="false">
      <c r="D56" s="0" t="str">
        <f aca="false">IF(A56&lt;&gt;"",googlefinance(A56,"price"),"")</f>
        <v/>
      </c>
      <c r="F56" s="0" t="str">
        <f aca="false">IF(AND(D56&lt;&gt;"",E56&lt;&gt;""),(D56-E56)/D56,"")</f>
        <v/>
      </c>
    </row>
    <row r="57" customFormat="false" ht="15" hidden="false" customHeight="false" outlineLevel="0" collapsed="false">
      <c r="D57" s="0" t="str">
        <f aca="false">IF(A57&lt;&gt;"",googlefinance(A57,"price"),"")</f>
        <v/>
      </c>
      <c r="F57" s="0" t="str">
        <f aca="false">IF(AND(D57&lt;&gt;"",E57&lt;&gt;""),(D57-E57)/D57,"")</f>
        <v/>
      </c>
    </row>
    <row r="58" customFormat="false" ht="15" hidden="false" customHeight="false" outlineLevel="0" collapsed="false">
      <c r="D58" s="0" t="str">
        <f aca="false">IF(A58&lt;&gt;"",googlefinance(A58,"price"),"")</f>
        <v/>
      </c>
      <c r="F58" s="0" t="str">
        <f aca="false">IF(AND(D58&lt;&gt;"",E58&lt;&gt;""),(D58-E58)/D58,"")</f>
        <v/>
      </c>
    </row>
    <row r="59" customFormat="false" ht="15" hidden="false" customHeight="false" outlineLevel="0" collapsed="false">
      <c r="D59" s="0" t="str">
        <f aca="false">IF(A59&lt;&gt;"",googlefinance(A59,"price"),"")</f>
        <v/>
      </c>
      <c r="F59" s="0" t="str">
        <f aca="false">IF(AND(D59&lt;&gt;"",E59&lt;&gt;""),(D59-E59)/D59,"")</f>
        <v/>
      </c>
    </row>
    <row r="60" customFormat="false" ht="15" hidden="false" customHeight="false" outlineLevel="0" collapsed="false">
      <c r="D60" s="0" t="str">
        <f aca="false">IF(A60&lt;&gt;"",googlefinance(A60,"price"),"")</f>
        <v/>
      </c>
      <c r="F60" s="0" t="str">
        <f aca="false">IF(AND(D60&lt;&gt;"",E60&lt;&gt;""),(D60-E60)/D60,"")</f>
        <v/>
      </c>
    </row>
    <row r="61" customFormat="false" ht="15" hidden="false" customHeight="false" outlineLevel="0" collapsed="false">
      <c r="D61" s="0" t="str">
        <f aca="false">IF(A61&lt;&gt;"",googlefinance(A61,"price"),"")</f>
        <v/>
      </c>
      <c r="F61" s="0" t="str">
        <f aca="false">IF(AND(D61&lt;&gt;"",E61&lt;&gt;""),(D61-E61)/D61,"")</f>
        <v/>
      </c>
    </row>
    <row r="62" customFormat="false" ht="15" hidden="false" customHeight="false" outlineLevel="0" collapsed="false">
      <c r="D62" s="0" t="str">
        <f aca="false">IF(A62&lt;&gt;"",googlefinance(A62,"price"),"")</f>
        <v/>
      </c>
      <c r="F62" s="0" t="str">
        <f aca="false">IF(AND(D62&lt;&gt;"",E62&lt;&gt;""),(D62-E62)/D62,"")</f>
        <v/>
      </c>
    </row>
    <row r="63" customFormat="false" ht="15" hidden="false" customHeight="false" outlineLevel="0" collapsed="false">
      <c r="D63" s="0" t="str">
        <f aca="false">IF(A63&lt;&gt;"",googlefinance(A63,"price"),"")</f>
        <v/>
      </c>
      <c r="F63" s="0" t="str">
        <f aca="false">IF(AND(D63&lt;&gt;"",E63&lt;&gt;""),(D63-E63)/D63,"")</f>
        <v/>
      </c>
    </row>
    <row r="64" customFormat="false" ht="15" hidden="false" customHeight="false" outlineLevel="0" collapsed="false">
      <c r="D64" s="0" t="str">
        <f aca="false">IF(A64&lt;&gt;"",googlefinance(A64,"price"),"")</f>
        <v/>
      </c>
      <c r="F64" s="0" t="str">
        <f aca="false">IF(AND(D64&lt;&gt;"",E64&lt;&gt;""),(D64-E64)/D64,"")</f>
        <v/>
      </c>
    </row>
    <row r="65" customFormat="false" ht="15" hidden="false" customHeight="false" outlineLevel="0" collapsed="false">
      <c r="D65" s="0" t="str">
        <f aca="false">IF(A65&lt;&gt;"",googlefinance(A65,"price"),"")</f>
        <v/>
      </c>
      <c r="F65" s="0" t="str">
        <f aca="false">IF(AND(D65&lt;&gt;"",E65&lt;&gt;""),(D65-E65)/D65,"")</f>
        <v/>
      </c>
    </row>
    <row r="66" customFormat="false" ht="15" hidden="false" customHeight="false" outlineLevel="0" collapsed="false">
      <c r="D66" s="0" t="str">
        <f aca="false">IF(A66&lt;&gt;"",googlefinance(A66,"price"),"")</f>
        <v/>
      </c>
      <c r="F66" s="0" t="str">
        <f aca="false">IF(AND(D66&lt;&gt;"",E66&lt;&gt;""),(D66-E66)/D66,"")</f>
        <v/>
      </c>
    </row>
    <row r="67" customFormat="false" ht="15" hidden="false" customHeight="false" outlineLevel="0" collapsed="false">
      <c r="D67" s="0" t="str">
        <f aca="false">IF(A67&lt;&gt;"",googlefinance(A67,"price"),"")</f>
        <v/>
      </c>
      <c r="F67" s="0" t="str">
        <f aca="false">IF(AND(D67&lt;&gt;"",E67&lt;&gt;""),(D67-E67)/D67,"")</f>
        <v/>
      </c>
    </row>
    <row r="68" customFormat="false" ht="15" hidden="false" customHeight="false" outlineLevel="0" collapsed="false">
      <c r="D68" s="0" t="str">
        <f aca="false">IF(A68&lt;&gt;"",googlefinance(A68,"price"),"")</f>
        <v/>
      </c>
      <c r="F68" s="0" t="str">
        <f aca="false">IF(AND(D68&lt;&gt;"",E68&lt;&gt;""),(D68-E68)/D68,"")</f>
        <v/>
      </c>
    </row>
    <row r="69" customFormat="false" ht="15" hidden="false" customHeight="false" outlineLevel="0" collapsed="false">
      <c r="D69" s="0" t="str">
        <f aca="false">IF(A69&lt;&gt;"",googlefinance(A69,"price"),"")</f>
        <v/>
      </c>
      <c r="F69" s="0" t="str">
        <f aca="false">IF(AND(D69&lt;&gt;"",E69&lt;&gt;""),(D69-E69)/D69,"")</f>
        <v/>
      </c>
    </row>
    <row r="70" customFormat="false" ht="15" hidden="false" customHeight="false" outlineLevel="0" collapsed="false">
      <c r="D70" s="0" t="str">
        <f aca="false">IF(A70&lt;&gt;"",googlefinance(A70,"price"),"")</f>
        <v/>
      </c>
      <c r="F70" s="0" t="str">
        <f aca="false">IF(AND(D70&lt;&gt;"",E70&lt;&gt;""),(D70-E70)/D70,"")</f>
        <v/>
      </c>
    </row>
    <row r="71" customFormat="false" ht="15" hidden="false" customHeight="false" outlineLevel="0" collapsed="false">
      <c r="D71" s="0" t="str">
        <f aca="false">IF(A71&lt;&gt;"",googlefinance(A71,"price"),"")</f>
        <v/>
      </c>
      <c r="F71" s="0" t="str">
        <f aca="false">IF(AND(D71&lt;&gt;"",E71&lt;&gt;""),(D71-E71)/D71,"")</f>
        <v/>
      </c>
    </row>
    <row r="72" customFormat="false" ht="15" hidden="false" customHeight="false" outlineLevel="0" collapsed="false">
      <c r="D72" s="0" t="str">
        <f aca="false">IF(A72&lt;&gt;"",googlefinance(A72,"price"),"")</f>
        <v/>
      </c>
      <c r="F72" s="0" t="str">
        <f aca="false">IF(AND(D72&lt;&gt;"",E72&lt;&gt;""),(D72-E72)/D72,"")</f>
        <v/>
      </c>
    </row>
    <row r="73" customFormat="false" ht="15" hidden="false" customHeight="false" outlineLevel="0" collapsed="false">
      <c r="D73" s="0" t="str">
        <f aca="false">IF(A73&lt;&gt;"",googlefinance(A73,"price"),"")</f>
        <v/>
      </c>
      <c r="F73" s="0" t="str">
        <f aca="false">IF(AND(D73&lt;&gt;"",E73&lt;&gt;""),(D73-E73)/D73,"")</f>
        <v/>
      </c>
    </row>
    <row r="74" customFormat="false" ht="15" hidden="false" customHeight="false" outlineLevel="0" collapsed="false">
      <c r="D74" s="0" t="str">
        <f aca="false">IF(A74&lt;&gt;"",googlefinance(A74,"price"),"")</f>
        <v/>
      </c>
      <c r="F74" s="0" t="str">
        <f aca="false">IF(AND(D74&lt;&gt;"",E74&lt;&gt;""),(D74-E74)/D74,"")</f>
        <v/>
      </c>
    </row>
    <row r="75" customFormat="false" ht="15" hidden="false" customHeight="false" outlineLevel="0" collapsed="false">
      <c r="D75" s="0" t="str">
        <f aca="false">IF(A75&lt;&gt;"",googlefinance(A75,"price"),"")</f>
        <v/>
      </c>
      <c r="F75" s="0" t="str">
        <f aca="false">IF(AND(D75&lt;&gt;"",E75&lt;&gt;""),(D75-E75)/D75,"")</f>
        <v/>
      </c>
    </row>
    <row r="76" customFormat="false" ht="15" hidden="false" customHeight="false" outlineLevel="0" collapsed="false">
      <c r="D76" s="0" t="str">
        <f aca="false">IF(A76&lt;&gt;"",googlefinance(A76,"price"),"")</f>
        <v/>
      </c>
      <c r="F76" s="0" t="str">
        <f aca="false">IF(AND(D76&lt;&gt;"",E76&lt;&gt;""),(D76-E76)/D76,"")</f>
        <v/>
      </c>
    </row>
    <row r="77" customFormat="false" ht="15" hidden="false" customHeight="false" outlineLevel="0" collapsed="false">
      <c r="D77" s="0" t="str">
        <f aca="false">IF(A77&lt;&gt;"",googlefinance(A77,"price"),"")</f>
        <v/>
      </c>
      <c r="F77" s="0" t="str">
        <f aca="false">IF(AND(D77&lt;&gt;"",E77&lt;&gt;""),(D77-E77)/D77,"")</f>
        <v/>
      </c>
    </row>
    <row r="78" customFormat="false" ht="15" hidden="false" customHeight="false" outlineLevel="0" collapsed="false">
      <c r="D78" s="0" t="str">
        <f aca="false">IF(A78&lt;&gt;"",googlefinance(A78,"price"),"")</f>
        <v/>
      </c>
      <c r="F78" s="0" t="str">
        <f aca="false">IF(AND(D78&lt;&gt;"",E78&lt;&gt;""),(D78-E78)/D78,"")</f>
        <v/>
      </c>
    </row>
    <row r="79" customFormat="false" ht="15" hidden="false" customHeight="false" outlineLevel="0" collapsed="false">
      <c r="D79" s="0" t="str">
        <f aca="false">IF(A79&lt;&gt;"",googlefinance(A79,"price"),"")</f>
        <v/>
      </c>
      <c r="F79" s="0" t="str">
        <f aca="false">IF(AND(D79&lt;&gt;"",E79&lt;&gt;""),(D79-E79)/D79,"")</f>
        <v/>
      </c>
    </row>
    <row r="80" customFormat="false" ht="15" hidden="false" customHeight="false" outlineLevel="0" collapsed="false">
      <c r="D80" s="0" t="str">
        <f aca="false">IF(A80&lt;&gt;"",googlefinance(A80,"price"),"")</f>
        <v/>
      </c>
      <c r="F80" s="0" t="str">
        <f aca="false">IF(AND(D80&lt;&gt;"",E80&lt;&gt;""),(D80-E80)/D80,"")</f>
        <v/>
      </c>
    </row>
    <row r="81" customFormat="false" ht="15" hidden="false" customHeight="false" outlineLevel="0" collapsed="false">
      <c r="D81" s="0" t="str">
        <f aca="false">IF(A81&lt;&gt;"",googlefinance(A81,"price"),"")</f>
        <v/>
      </c>
      <c r="F81" s="0" t="str">
        <f aca="false">IF(AND(D81&lt;&gt;"",E81&lt;&gt;""),(D81-E81)/D81,"")</f>
        <v/>
      </c>
    </row>
    <row r="82" customFormat="false" ht="15" hidden="false" customHeight="false" outlineLevel="0" collapsed="false">
      <c r="D82" s="0" t="str">
        <f aca="false">IF(A82&lt;&gt;"",googlefinance(A82,"price"),"")</f>
        <v/>
      </c>
      <c r="F82" s="0" t="str">
        <f aca="false">IF(AND(D82&lt;&gt;"",E82&lt;&gt;""),(D82-E82)/D82,"")</f>
        <v/>
      </c>
    </row>
    <row r="83" customFormat="false" ht="15" hidden="false" customHeight="false" outlineLevel="0" collapsed="false">
      <c r="D83" s="0" t="str">
        <f aca="false">IF(A83&lt;&gt;"",googlefinance(A83,"price"),"")</f>
        <v/>
      </c>
      <c r="F83" s="0" t="str">
        <f aca="false">IF(AND(D83&lt;&gt;"",E83&lt;&gt;""),(D83-E83)/D83,"")</f>
        <v/>
      </c>
    </row>
    <row r="84" customFormat="false" ht="15" hidden="false" customHeight="false" outlineLevel="0" collapsed="false">
      <c r="D84" s="0" t="str">
        <f aca="false">IF(A84&lt;&gt;"",googlefinance(A84,"price"),"")</f>
        <v/>
      </c>
      <c r="F84" s="0" t="str">
        <f aca="false">IF(AND(D84&lt;&gt;"",E84&lt;&gt;""),(D84-E84)/D84,"")</f>
        <v/>
      </c>
    </row>
    <row r="85" customFormat="false" ht="15" hidden="false" customHeight="false" outlineLevel="0" collapsed="false">
      <c r="D85" s="0" t="str">
        <f aca="false">IF(A85&lt;&gt;"",googlefinance(A85,"price"),"")</f>
        <v/>
      </c>
      <c r="F85" s="0" t="str">
        <f aca="false">IF(AND(D85&lt;&gt;"",E85&lt;&gt;""),(D85-E85)/D85,"")</f>
        <v/>
      </c>
    </row>
    <row r="86" customFormat="false" ht="15" hidden="false" customHeight="false" outlineLevel="0" collapsed="false">
      <c r="D86" s="0" t="str">
        <f aca="false">IF(A86&lt;&gt;"",googlefinance(A86,"price"),"")</f>
        <v/>
      </c>
      <c r="F86" s="0" t="str">
        <f aca="false">IF(AND(D86&lt;&gt;"",E86&lt;&gt;""),(D86-E86)/D86,"")</f>
        <v/>
      </c>
    </row>
    <row r="87" customFormat="false" ht="15" hidden="false" customHeight="false" outlineLevel="0" collapsed="false">
      <c r="D87" s="0" t="str">
        <f aca="false">IF(A87&lt;&gt;"",googlefinance(A87,"price"),"")</f>
        <v/>
      </c>
      <c r="F87" s="0" t="str">
        <f aca="false">IF(AND(D87&lt;&gt;"",E87&lt;&gt;""),(D87-E87)/D87,"")</f>
        <v/>
      </c>
    </row>
    <row r="88" customFormat="false" ht="15" hidden="false" customHeight="false" outlineLevel="0" collapsed="false">
      <c r="D88" s="0" t="str">
        <f aca="false">IF(A88&lt;&gt;"",googlefinance(A88,"price"),"")</f>
        <v/>
      </c>
      <c r="F88" s="0" t="str">
        <f aca="false">IF(AND(D88&lt;&gt;"",E88&lt;&gt;""),(D88-E88)/D88,"")</f>
        <v/>
      </c>
    </row>
    <row r="89" customFormat="false" ht="15" hidden="false" customHeight="false" outlineLevel="0" collapsed="false">
      <c r="D89" s="0" t="str">
        <f aca="false">IF(A89&lt;&gt;"",googlefinance(A89,"price"),"")</f>
        <v/>
      </c>
      <c r="F89" s="0" t="str">
        <f aca="false">IF(AND(D89&lt;&gt;"",E89&lt;&gt;""),(D89-E89)/D89,"")</f>
        <v/>
      </c>
    </row>
    <row r="90" customFormat="false" ht="15" hidden="false" customHeight="false" outlineLevel="0" collapsed="false">
      <c r="D90" s="0" t="str">
        <f aca="false">IF(A90&lt;&gt;"",googlefinance(A90,"price"),"")</f>
        <v/>
      </c>
      <c r="F90" s="0" t="str">
        <f aca="false">IF(AND(D90&lt;&gt;"",E90&lt;&gt;""),(D90-E90)/D90,"")</f>
        <v/>
      </c>
    </row>
    <row r="91" customFormat="false" ht="15" hidden="false" customHeight="false" outlineLevel="0" collapsed="false">
      <c r="D91" s="0" t="str">
        <f aca="false">IF(A91&lt;&gt;"",googlefinance(A91,"price"),"")</f>
        <v/>
      </c>
      <c r="F91" s="0" t="str">
        <f aca="false">IF(AND(D91&lt;&gt;"",E91&lt;&gt;""),(D91-E91)/D91,"")</f>
        <v/>
      </c>
    </row>
    <row r="92" customFormat="false" ht="15" hidden="false" customHeight="false" outlineLevel="0" collapsed="false">
      <c r="D92" s="0" t="str">
        <f aca="false">IF(A92&lt;&gt;"",googlefinance(A92,"price"),"")</f>
        <v/>
      </c>
      <c r="F92" s="0" t="str">
        <f aca="false">IF(AND(D92&lt;&gt;"",E92&lt;&gt;""),(D92-E92)/D92,"")</f>
        <v/>
      </c>
    </row>
    <row r="93" customFormat="false" ht="15" hidden="false" customHeight="false" outlineLevel="0" collapsed="false">
      <c r="D93" s="0" t="str">
        <f aca="false">IF(A93&lt;&gt;"",googlefinance(A93,"price"),"")</f>
        <v/>
      </c>
      <c r="F93" s="0" t="str">
        <f aca="false">IF(AND(D93&lt;&gt;"",E93&lt;&gt;""),(D93-E93)/D93,"")</f>
        <v/>
      </c>
    </row>
    <row r="94" customFormat="false" ht="15" hidden="false" customHeight="false" outlineLevel="0" collapsed="false">
      <c r="D94" s="0" t="str">
        <f aca="false">IF(A94&lt;&gt;"",googlefinance(A94,"price"),"")</f>
        <v/>
      </c>
      <c r="F94" s="0" t="str">
        <f aca="false">IF(AND(D94&lt;&gt;"",E94&lt;&gt;""),(D94-E94)/D94,"")</f>
        <v/>
      </c>
    </row>
    <row r="95" customFormat="false" ht="15" hidden="false" customHeight="false" outlineLevel="0" collapsed="false">
      <c r="D95" s="0" t="str">
        <f aca="false">IF(A95&lt;&gt;"",googlefinance(A95,"price"),"")</f>
        <v/>
      </c>
      <c r="F95" s="0" t="str">
        <f aca="false">IF(AND(D95&lt;&gt;"",E95&lt;&gt;""),(D95-E95)/D95,"")</f>
        <v/>
      </c>
    </row>
    <row r="96" customFormat="false" ht="15" hidden="false" customHeight="false" outlineLevel="0" collapsed="false">
      <c r="D96" s="0" t="str">
        <f aca="false">IF(A96&lt;&gt;"",googlefinance(A96,"price"),"")</f>
        <v/>
      </c>
      <c r="F96" s="0" t="str">
        <f aca="false">IF(AND(D96&lt;&gt;"",E96&lt;&gt;""),(D96-E96)/D96,"")</f>
        <v/>
      </c>
    </row>
    <row r="97" customFormat="false" ht="15" hidden="false" customHeight="false" outlineLevel="0" collapsed="false">
      <c r="D97" s="0" t="str">
        <f aca="false">IF(A97&lt;&gt;"",googlefinance(A97,"price"),"")</f>
        <v/>
      </c>
      <c r="F97" s="0" t="str">
        <f aca="false">IF(AND(D97&lt;&gt;"",E97&lt;&gt;""),(D97-E97)/D97,"")</f>
        <v/>
      </c>
    </row>
    <row r="98" customFormat="false" ht="15" hidden="false" customHeight="false" outlineLevel="0" collapsed="false">
      <c r="D98" s="0" t="str">
        <f aca="false">IF(A98&lt;&gt;"",googlefinance(A98,"price"),"")</f>
        <v/>
      </c>
      <c r="F98" s="0" t="str">
        <f aca="false">IF(AND(D98&lt;&gt;"",E98&lt;&gt;""),(D98-E98)/D98,"")</f>
        <v/>
      </c>
    </row>
    <row r="99" customFormat="false" ht="15" hidden="false" customHeight="false" outlineLevel="0" collapsed="false">
      <c r="D99" s="0" t="str">
        <f aca="false">IF(A99&lt;&gt;"",googlefinance(A99,"price"),"")</f>
        <v/>
      </c>
      <c r="F99" s="0" t="str">
        <f aca="false">IF(AND(D99&lt;&gt;"",E99&lt;&gt;""),(D99-E99)/D99,"")</f>
        <v/>
      </c>
    </row>
    <row r="100" customFormat="false" ht="15" hidden="false" customHeight="false" outlineLevel="0" collapsed="false">
      <c r="D100" s="0" t="str">
        <f aca="false">IF(A100&lt;&gt;"",googlefinance(A100,"price"),"")</f>
        <v/>
      </c>
      <c r="F100" s="0" t="str">
        <f aca="false">IF(AND(D100&lt;&gt;"",E100&lt;&gt;""),(D100-E100)/D100,"")</f>
        <v/>
      </c>
    </row>
  </sheetData>
  <conditionalFormatting sqref="F2:F100">
    <cfRule type="cellIs" priority="2" operator="lessThan" aboveAverage="0" equalAverage="0" bottom="0" percent="0" rank="0" text="" dxfId="4">
      <formula>0.05</formula>
    </cfRule>
  </conditionalFormatting>
  <dataValidations count="1">
    <dataValidation allowBlank="true" errorStyle="stop" operator="between" showDropDown="false" showErrorMessage="false" showInputMessage="false" sqref="I2:I100" type="list">
      <formula1>"Hot,Warm,Cold"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</row>
    <row r="2" customFormat="false" ht="15" hidden="false" customHeight="false" outlineLevel="0" collapsed="false">
      <c r="A2" s="8" t="s">
        <v>95</v>
      </c>
      <c r="B2" s="11" t="s">
        <v>129</v>
      </c>
      <c r="C2" s="8" t="s">
        <v>130</v>
      </c>
      <c r="D2" s="8" t="s">
        <v>131</v>
      </c>
      <c r="E2" s="8" t="s">
        <v>132</v>
      </c>
      <c r="F2" s="8" t="s">
        <v>133</v>
      </c>
    </row>
    <row r="3" customFormat="false" ht="15" hidden="false" customHeight="false" outlineLevel="0" collapsed="false">
      <c r="A3" s="8" t="s">
        <v>118</v>
      </c>
      <c r="B3" s="11" t="s">
        <v>129</v>
      </c>
      <c r="C3" s="8" t="s">
        <v>134</v>
      </c>
      <c r="D3" s="8" t="s">
        <v>135</v>
      </c>
      <c r="E3" s="8" t="s">
        <v>136</v>
      </c>
      <c r="F3" s="8" t="s">
        <v>137</v>
      </c>
    </row>
  </sheetData>
  <dataValidations count="1">
    <dataValidation allowBlank="true" errorStyle="stop" operator="between" showDropDown="false" showErrorMessage="false" showInputMessage="false" sqref="B2:B500" type="list">
      <formula1>"Bullish,Bearish,Neutral,Cautious"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4" t="s">
        <v>35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2</v>
      </c>
      <c r="G1" s="4" t="s">
        <v>142</v>
      </c>
    </row>
    <row r="2" customFormat="false" ht="15" hidden="false" customHeight="false" outlineLevel="0" collapsed="false">
      <c r="A2" s="8" t="s">
        <v>71</v>
      </c>
      <c r="B2" s="8" t="s">
        <v>112</v>
      </c>
      <c r="C2" s="6" t="n">
        <v>0.12</v>
      </c>
      <c r="D2" s="8" t="n">
        <v>400</v>
      </c>
      <c r="E2" s="6" t="n">
        <f aca="false">C2*D2</f>
        <v>48</v>
      </c>
      <c r="F2" s="8" t="s">
        <v>143</v>
      </c>
      <c r="G2" s="8"/>
    </row>
    <row r="3" customFormat="false" ht="15" hidden="false" customHeight="false" outlineLevel="0" collapsed="false">
      <c r="A3" s="8" t="s">
        <v>144</v>
      </c>
      <c r="B3" s="8" t="s">
        <v>145</v>
      </c>
      <c r="C3" s="6" t="n">
        <v>0.915</v>
      </c>
      <c r="D3" s="8" t="n">
        <v>25</v>
      </c>
      <c r="E3" s="6" t="n">
        <f aca="false">C3*D3</f>
        <v>22.875</v>
      </c>
      <c r="F3" s="8" t="s">
        <v>143</v>
      </c>
      <c r="G3" s="8"/>
    </row>
    <row r="4" customFormat="false" ht="15" hidden="false" customHeight="false" outlineLevel="0" collapsed="false">
      <c r="E4" s="0" t="str">
        <f aca="false">IF(C4&lt;&gt;"",C4*D4,"")</f>
        <v/>
      </c>
    </row>
    <row r="5" customFormat="false" ht="15" hidden="false" customHeight="false" outlineLevel="0" collapsed="false">
      <c r="A5" s="3" t="s">
        <v>146</v>
      </c>
      <c r="E5" s="14" t="str">
        <f aca="false">IF(C5&lt;&gt;"",C5*D5,"")</f>
        <v/>
      </c>
    </row>
    <row r="6" customFormat="false" ht="15" hidden="false" customHeight="false" outlineLevel="0" collapsed="false">
      <c r="E6" s="0" t="str">
        <f aca="false">IF(C6&lt;&gt;"",C6*D6,"")</f>
        <v/>
      </c>
    </row>
    <row r="7" customFormat="false" ht="15" hidden="false" customHeight="false" outlineLevel="0" collapsed="false">
      <c r="E7" s="0" t="str">
        <f aca="false">IF(C7&lt;&gt;"",C7*D7,"")</f>
        <v/>
      </c>
    </row>
    <row r="8" customFormat="false" ht="15" hidden="false" customHeight="false" outlineLevel="0" collapsed="false">
      <c r="E8" s="0" t="str">
        <f aca="false">IF(C8&lt;&gt;"",C8*D8,"")</f>
        <v/>
      </c>
    </row>
    <row r="9" customFormat="false" ht="15" hidden="false" customHeight="false" outlineLevel="0" collapsed="false">
      <c r="E9" s="0" t="str">
        <f aca="false">IF(C9&lt;&gt;"",C9*D9,"")</f>
        <v/>
      </c>
    </row>
    <row r="10" customFormat="false" ht="15" hidden="false" customHeight="false" outlineLevel="0" collapsed="false">
      <c r="E10" s="0" t="str">
        <f aca="false">IF(C10&lt;&gt;"",C10*D10,"")</f>
        <v/>
      </c>
    </row>
    <row r="11" customFormat="false" ht="15" hidden="false" customHeight="false" outlineLevel="0" collapsed="false">
      <c r="E11" s="0" t="str">
        <f aca="false">IF(C11&lt;&gt;"",C11*D11,"")</f>
        <v/>
      </c>
    </row>
    <row r="12" customFormat="false" ht="15" hidden="false" customHeight="false" outlineLevel="0" collapsed="false">
      <c r="E12" s="0" t="str">
        <f aca="false">IF(C12&lt;&gt;"",C12*D12,"")</f>
        <v/>
      </c>
    </row>
    <row r="13" customFormat="false" ht="15" hidden="false" customHeight="false" outlineLevel="0" collapsed="false">
      <c r="E13" s="0" t="str">
        <f aca="false">IF(C13&lt;&gt;"",C13*D13,"")</f>
        <v/>
      </c>
    </row>
    <row r="14" customFormat="false" ht="15" hidden="false" customHeight="false" outlineLevel="0" collapsed="false">
      <c r="E14" s="0" t="str">
        <f aca="false">IF(C14&lt;&gt;"",C14*D14,"")</f>
        <v/>
      </c>
    </row>
    <row r="15" customFormat="false" ht="15" hidden="false" customHeight="false" outlineLevel="0" collapsed="false">
      <c r="E15" s="0" t="str">
        <f aca="false">IF(C15&lt;&gt;"",C15*D15,"")</f>
        <v/>
      </c>
    </row>
    <row r="16" customFormat="false" ht="15" hidden="false" customHeight="false" outlineLevel="0" collapsed="false">
      <c r="E16" s="0" t="str">
        <f aca="false">IF(C16&lt;&gt;"",C16*D16,"")</f>
        <v/>
      </c>
    </row>
    <row r="17" customFormat="false" ht="15" hidden="false" customHeight="false" outlineLevel="0" collapsed="false">
      <c r="E17" s="0" t="str">
        <f aca="false">IF(C17&lt;&gt;"",C17*D17,"")</f>
        <v/>
      </c>
    </row>
    <row r="18" customFormat="false" ht="15" hidden="false" customHeight="false" outlineLevel="0" collapsed="false">
      <c r="E18" s="0" t="str">
        <f aca="false">IF(C18&lt;&gt;"",C18*D18,"")</f>
        <v/>
      </c>
    </row>
    <row r="19" customFormat="false" ht="15" hidden="false" customHeight="false" outlineLevel="0" collapsed="false">
      <c r="E19" s="0" t="str">
        <f aca="false">IF(C19&lt;&gt;"",C19*D19,"")</f>
        <v/>
      </c>
    </row>
    <row r="20" customFormat="false" ht="15" hidden="false" customHeight="false" outlineLevel="0" collapsed="false">
      <c r="E20" s="0" t="str">
        <f aca="false">IF(C20&lt;&gt;"",C20*D20,"")</f>
        <v/>
      </c>
    </row>
    <row r="21" customFormat="false" ht="15" hidden="false" customHeight="false" outlineLevel="0" collapsed="false">
      <c r="E21" s="0" t="str">
        <f aca="false">IF(C21&lt;&gt;"",C21*D21,"")</f>
        <v/>
      </c>
    </row>
    <row r="22" customFormat="false" ht="15" hidden="false" customHeight="false" outlineLevel="0" collapsed="false">
      <c r="E22" s="0" t="str">
        <f aca="false">IF(C22&lt;&gt;"",C22*D22,"")</f>
        <v/>
      </c>
    </row>
    <row r="23" customFormat="false" ht="15" hidden="false" customHeight="false" outlineLevel="0" collapsed="false">
      <c r="E23" s="0" t="str">
        <f aca="false">IF(C23&lt;&gt;"",C23*D23,"")</f>
        <v/>
      </c>
    </row>
    <row r="24" customFormat="false" ht="15" hidden="false" customHeight="false" outlineLevel="0" collapsed="false">
      <c r="E24" s="0" t="str">
        <f aca="false">IF(C24&lt;&gt;"",C24*D24,"")</f>
        <v/>
      </c>
    </row>
    <row r="25" customFormat="false" ht="15" hidden="false" customHeight="false" outlineLevel="0" collapsed="false">
      <c r="E25" s="0" t="str">
        <f aca="false">IF(C25&lt;&gt;"",C25*D25,"")</f>
        <v/>
      </c>
    </row>
    <row r="26" customFormat="false" ht="15" hidden="false" customHeight="false" outlineLevel="0" collapsed="false">
      <c r="E26" s="0" t="str">
        <f aca="false">IF(C26&lt;&gt;"",C26*D26,"")</f>
        <v/>
      </c>
    </row>
    <row r="27" customFormat="false" ht="15" hidden="false" customHeight="false" outlineLevel="0" collapsed="false">
      <c r="E27" s="0" t="str">
        <f aca="false">IF(C27&lt;&gt;"",C27*D27,"")</f>
        <v/>
      </c>
    </row>
    <row r="28" customFormat="false" ht="15" hidden="false" customHeight="false" outlineLevel="0" collapsed="false">
      <c r="E28" s="0" t="str">
        <f aca="false">IF(C28&lt;&gt;"",C28*D28,"")</f>
        <v/>
      </c>
    </row>
    <row r="29" customFormat="false" ht="15" hidden="false" customHeight="false" outlineLevel="0" collapsed="false">
      <c r="E29" s="0" t="str">
        <f aca="false">IF(C29&lt;&gt;"",C29*D29,"")</f>
        <v/>
      </c>
    </row>
    <row r="30" customFormat="false" ht="15" hidden="false" customHeight="false" outlineLevel="0" collapsed="false">
      <c r="E30" s="0" t="str">
        <f aca="false">IF(C30&lt;&gt;"",C30*D30,"")</f>
        <v/>
      </c>
    </row>
    <row r="31" customFormat="false" ht="15" hidden="false" customHeight="false" outlineLevel="0" collapsed="false">
      <c r="E31" s="0" t="str">
        <f aca="false">IF(C31&lt;&gt;"",C31*D31,"")</f>
        <v/>
      </c>
    </row>
    <row r="32" customFormat="false" ht="15" hidden="false" customHeight="false" outlineLevel="0" collapsed="false">
      <c r="E32" s="0" t="str">
        <f aca="false">IF(C32&lt;&gt;"",C32*D32,"")</f>
        <v/>
      </c>
    </row>
    <row r="33" customFormat="false" ht="15" hidden="false" customHeight="false" outlineLevel="0" collapsed="false">
      <c r="E33" s="0" t="str">
        <f aca="false">IF(C33&lt;&gt;"",C33*D33,"")</f>
        <v/>
      </c>
    </row>
    <row r="34" customFormat="false" ht="15" hidden="false" customHeight="false" outlineLevel="0" collapsed="false">
      <c r="E34" s="0" t="str">
        <f aca="false">IF(C34&lt;&gt;"",C34*D34,"")</f>
        <v/>
      </c>
    </row>
    <row r="35" customFormat="false" ht="15" hidden="false" customHeight="false" outlineLevel="0" collapsed="false">
      <c r="E35" s="0" t="str">
        <f aca="false">IF(C35&lt;&gt;"",C35*D35,"")</f>
        <v/>
      </c>
    </row>
    <row r="36" customFormat="false" ht="15" hidden="false" customHeight="false" outlineLevel="0" collapsed="false">
      <c r="E36" s="0" t="str">
        <f aca="false">IF(C36&lt;&gt;"",C36*D36,"")</f>
        <v/>
      </c>
    </row>
    <row r="37" customFormat="false" ht="15" hidden="false" customHeight="false" outlineLevel="0" collapsed="false">
      <c r="E37" s="0" t="str">
        <f aca="false">IF(C37&lt;&gt;"",C37*D37,"")</f>
        <v/>
      </c>
    </row>
    <row r="38" customFormat="false" ht="15" hidden="false" customHeight="false" outlineLevel="0" collapsed="false">
      <c r="E38" s="0" t="str">
        <f aca="false">IF(C38&lt;&gt;"",C38*D38,"")</f>
        <v/>
      </c>
    </row>
    <row r="39" customFormat="false" ht="15" hidden="false" customHeight="false" outlineLevel="0" collapsed="false">
      <c r="E39" s="0" t="str">
        <f aca="false">IF(C39&lt;&gt;"",C39*D39,"")</f>
        <v/>
      </c>
    </row>
    <row r="40" customFormat="false" ht="15" hidden="false" customHeight="false" outlineLevel="0" collapsed="false">
      <c r="E40" s="0" t="str">
        <f aca="false">IF(C40&lt;&gt;"",C40*D40,"")</f>
        <v/>
      </c>
    </row>
    <row r="41" customFormat="false" ht="15" hidden="false" customHeight="false" outlineLevel="0" collapsed="false">
      <c r="E41" s="0" t="str">
        <f aca="false">IF(C41&lt;&gt;"",C41*D41,"")</f>
        <v/>
      </c>
    </row>
    <row r="42" customFormat="false" ht="15" hidden="false" customHeight="false" outlineLevel="0" collapsed="false">
      <c r="E42" s="0" t="str">
        <f aca="false">IF(C42&lt;&gt;"",C42*D42,"")</f>
        <v/>
      </c>
    </row>
    <row r="43" customFormat="false" ht="15" hidden="false" customHeight="false" outlineLevel="0" collapsed="false">
      <c r="E43" s="0" t="str">
        <f aca="false">IF(C43&lt;&gt;"",C43*D43,"")</f>
        <v/>
      </c>
    </row>
    <row r="44" customFormat="false" ht="15" hidden="false" customHeight="false" outlineLevel="0" collapsed="false">
      <c r="E44" s="0" t="str">
        <f aca="false">IF(C44&lt;&gt;"",C44*D44,"")</f>
        <v/>
      </c>
    </row>
    <row r="45" customFormat="false" ht="15" hidden="false" customHeight="false" outlineLevel="0" collapsed="false">
      <c r="E45" s="0" t="str">
        <f aca="false">IF(C45&lt;&gt;"",C45*D45,"")</f>
        <v/>
      </c>
    </row>
    <row r="46" customFormat="false" ht="15" hidden="false" customHeight="false" outlineLevel="0" collapsed="false">
      <c r="E46" s="0" t="str">
        <f aca="false">IF(C46&lt;&gt;"",C46*D46,"")</f>
        <v/>
      </c>
    </row>
    <row r="47" customFormat="false" ht="15" hidden="false" customHeight="false" outlineLevel="0" collapsed="false">
      <c r="E47" s="0" t="str">
        <f aca="false">IF(C47&lt;&gt;"",C47*D47,"")</f>
        <v/>
      </c>
    </row>
    <row r="48" customFormat="false" ht="15" hidden="false" customHeight="false" outlineLevel="0" collapsed="false">
      <c r="E48" s="0" t="str">
        <f aca="false">IF(C48&lt;&gt;"",C48*D48,"")</f>
        <v/>
      </c>
    </row>
    <row r="49" customFormat="false" ht="15" hidden="false" customHeight="false" outlineLevel="0" collapsed="false">
      <c r="E49" s="0" t="str">
        <f aca="false">IF(C49&lt;&gt;"",C49*D49,"")</f>
        <v/>
      </c>
    </row>
    <row r="50" customFormat="false" ht="15" hidden="false" customHeight="false" outlineLevel="0" collapsed="false">
      <c r="E50" s="0" t="str">
        <f aca="false">IF(C50&lt;&gt;"",C50*D50,"")</f>
        <v/>
      </c>
    </row>
    <row r="51" customFormat="false" ht="15" hidden="false" customHeight="false" outlineLevel="0" collapsed="false">
      <c r="E51" s="0" t="str">
        <f aca="false">IF(C51&lt;&gt;"",C51*D51,"")</f>
        <v/>
      </c>
    </row>
    <row r="52" customFormat="false" ht="15" hidden="false" customHeight="false" outlineLevel="0" collapsed="false">
      <c r="E52" s="0" t="str">
        <f aca="false">IF(C52&lt;&gt;"",C52*D52,"")</f>
        <v/>
      </c>
    </row>
    <row r="53" customFormat="false" ht="15" hidden="false" customHeight="false" outlineLevel="0" collapsed="false">
      <c r="E53" s="0" t="str">
        <f aca="false">IF(C53&lt;&gt;"",C53*D53,"")</f>
        <v/>
      </c>
    </row>
    <row r="54" customFormat="false" ht="15" hidden="false" customHeight="false" outlineLevel="0" collapsed="false">
      <c r="E54" s="0" t="str">
        <f aca="false">IF(C54&lt;&gt;"",C54*D54,"")</f>
        <v/>
      </c>
    </row>
    <row r="55" customFormat="false" ht="15" hidden="false" customHeight="false" outlineLevel="0" collapsed="false">
      <c r="E55" s="0" t="str">
        <f aca="false">IF(C55&lt;&gt;"",C55*D55,"")</f>
        <v/>
      </c>
    </row>
    <row r="56" customFormat="false" ht="15" hidden="false" customHeight="false" outlineLevel="0" collapsed="false">
      <c r="E56" s="0" t="str">
        <f aca="false">IF(C56&lt;&gt;"",C56*D56,"")</f>
        <v/>
      </c>
    </row>
    <row r="57" customFormat="false" ht="15" hidden="false" customHeight="false" outlineLevel="0" collapsed="false">
      <c r="E57" s="0" t="str">
        <f aca="false">IF(C57&lt;&gt;"",C57*D57,"")</f>
        <v/>
      </c>
    </row>
    <row r="58" customFormat="false" ht="15" hidden="false" customHeight="false" outlineLevel="0" collapsed="false">
      <c r="E58" s="0" t="str">
        <f aca="false">IF(C58&lt;&gt;"",C58*D58,"")</f>
        <v/>
      </c>
    </row>
    <row r="59" customFormat="false" ht="15" hidden="false" customHeight="false" outlineLevel="0" collapsed="false">
      <c r="E59" s="0" t="str">
        <f aca="false">IF(C59&lt;&gt;"",C59*D59,"")</f>
        <v/>
      </c>
    </row>
    <row r="60" customFormat="false" ht="15" hidden="false" customHeight="false" outlineLevel="0" collapsed="false">
      <c r="E60" s="0" t="str">
        <f aca="false">IF(C60&lt;&gt;"",C60*D60,"")</f>
        <v/>
      </c>
    </row>
    <row r="61" customFormat="false" ht="15" hidden="false" customHeight="false" outlineLevel="0" collapsed="false">
      <c r="E61" s="0" t="str">
        <f aca="false">IF(C61&lt;&gt;"",C61*D61,"")</f>
        <v/>
      </c>
    </row>
    <row r="62" customFormat="false" ht="15" hidden="false" customHeight="false" outlineLevel="0" collapsed="false">
      <c r="E62" s="0" t="str">
        <f aca="false">IF(C62&lt;&gt;"",C62*D62,"")</f>
        <v/>
      </c>
    </row>
    <row r="63" customFormat="false" ht="15" hidden="false" customHeight="false" outlineLevel="0" collapsed="false">
      <c r="E63" s="0" t="str">
        <f aca="false">IF(C63&lt;&gt;"",C63*D63,"")</f>
        <v/>
      </c>
    </row>
    <row r="64" customFormat="false" ht="15" hidden="false" customHeight="false" outlineLevel="0" collapsed="false">
      <c r="E64" s="0" t="str">
        <f aca="false">IF(C64&lt;&gt;"",C64*D64,"")</f>
        <v/>
      </c>
    </row>
    <row r="65" customFormat="false" ht="15" hidden="false" customHeight="false" outlineLevel="0" collapsed="false">
      <c r="E65" s="0" t="str">
        <f aca="false">IF(C65&lt;&gt;"",C65*D65,"")</f>
        <v/>
      </c>
    </row>
    <row r="66" customFormat="false" ht="15" hidden="false" customHeight="false" outlineLevel="0" collapsed="false">
      <c r="E66" s="0" t="str">
        <f aca="false">IF(C66&lt;&gt;"",C66*D66,"")</f>
        <v/>
      </c>
    </row>
    <row r="67" customFormat="false" ht="15" hidden="false" customHeight="false" outlineLevel="0" collapsed="false">
      <c r="E67" s="0" t="str">
        <f aca="false">IF(C67&lt;&gt;"",C67*D67,"")</f>
        <v/>
      </c>
    </row>
    <row r="68" customFormat="false" ht="15" hidden="false" customHeight="false" outlineLevel="0" collapsed="false">
      <c r="E68" s="0" t="str">
        <f aca="false">IF(C68&lt;&gt;"",C68*D68,"")</f>
        <v/>
      </c>
    </row>
    <row r="69" customFormat="false" ht="15" hidden="false" customHeight="false" outlineLevel="0" collapsed="false">
      <c r="E69" s="0" t="str">
        <f aca="false">IF(C69&lt;&gt;"",C69*D69,"")</f>
        <v/>
      </c>
    </row>
    <row r="70" customFormat="false" ht="15" hidden="false" customHeight="false" outlineLevel="0" collapsed="false">
      <c r="E70" s="0" t="str">
        <f aca="false">IF(C70&lt;&gt;"",C70*D70,"")</f>
        <v/>
      </c>
    </row>
    <row r="71" customFormat="false" ht="15" hidden="false" customHeight="false" outlineLevel="0" collapsed="false">
      <c r="E71" s="0" t="str">
        <f aca="false">IF(C71&lt;&gt;"",C71*D71,"")</f>
        <v/>
      </c>
    </row>
    <row r="72" customFormat="false" ht="15" hidden="false" customHeight="false" outlineLevel="0" collapsed="false">
      <c r="E72" s="0" t="str">
        <f aca="false">IF(C72&lt;&gt;"",C72*D72,"")</f>
        <v/>
      </c>
    </row>
    <row r="73" customFormat="false" ht="15" hidden="false" customHeight="false" outlineLevel="0" collapsed="false">
      <c r="E73" s="0" t="str">
        <f aca="false">IF(C73&lt;&gt;"",C73*D73,"")</f>
        <v/>
      </c>
    </row>
    <row r="74" customFormat="false" ht="15" hidden="false" customHeight="false" outlineLevel="0" collapsed="false">
      <c r="E74" s="0" t="str">
        <f aca="false">IF(C74&lt;&gt;"",C74*D74,"")</f>
        <v/>
      </c>
    </row>
    <row r="75" customFormat="false" ht="15" hidden="false" customHeight="false" outlineLevel="0" collapsed="false">
      <c r="E75" s="0" t="str">
        <f aca="false">IF(C75&lt;&gt;"",C75*D75,"")</f>
        <v/>
      </c>
    </row>
    <row r="76" customFormat="false" ht="15" hidden="false" customHeight="false" outlineLevel="0" collapsed="false">
      <c r="E76" s="0" t="str">
        <f aca="false">IF(C76&lt;&gt;"",C76*D76,"")</f>
        <v/>
      </c>
    </row>
    <row r="77" customFormat="false" ht="15" hidden="false" customHeight="false" outlineLevel="0" collapsed="false">
      <c r="E77" s="0" t="str">
        <f aca="false">IF(C77&lt;&gt;"",C77*D77,"")</f>
        <v/>
      </c>
    </row>
    <row r="78" customFormat="false" ht="15" hidden="false" customHeight="false" outlineLevel="0" collapsed="false">
      <c r="E78" s="0" t="str">
        <f aca="false">IF(C78&lt;&gt;"",C78*D78,"")</f>
        <v/>
      </c>
    </row>
    <row r="79" customFormat="false" ht="15" hidden="false" customHeight="false" outlineLevel="0" collapsed="false">
      <c r="E79" s="0" t="str">
        <f aca="false">IF(C79&lt;&gt;"",C79*D79,"")</f>
        <v/>
      </c>
    </row>
    <row r="80" customFormat="false" ht="15" hidden="false" customHeight="false" outlineLevel="0" collapsed="false">
      <c r="E80" s="0" t="str">
        <f aca="false">IF(C80&lt;&gt;"",C80*D80,"")</f>
        <v/>
      </c>
    </row>
    <row r="81" customFormat="false" ht="15" hidden="false" customHeight="false" outlineLevel="0" collapsed="false">
      <c r="E81" s="0" t="str">
        <f aca="false">IF(C81&lt;&gt;"",C81*D81,"")</f>
        <v/>
      </c>
    </row>
    <row r="82" customFormat="false" ht="15" hidden="false" customHeight="false" outlineLevel="0" collapsed="false">
      <c r="E82" s="0" t="str">
        <f aca="false">IF(C82&lt;&gt;"",C82*D82,"")</f>
        <v/>
      </c>
    </row>
    <row r="83" customFormat="false" ht="15" hidden="false" customHeight="false" outlineLevel="0" collapsed="false">
      <c r="E83" s="0" t="str">
        <f aca="false">IF(C83&lt;&gt;"",C83*D83,"")</f>
        <v/>
      </c>
    </row>
    <row r="84" customFormat="false" ht="15" hidden="false" customHeight="false" outlineLevel="0" collapsed="false">
      <c r="E84" s="0" t="str">
        <f aca="false">IF(C84&lt;&gt;"",C84*D84,"")</f>
        <v/>
      </c>
    </row>
    <row r="85" customFormat="false" ht="15" hidden="false" customHeight="false" outlineLevel="0" collapsed="false">
      <c r="E85" s="0" t="str">
        <f aca="false">IF(C85&lt;&gt;"",C85*D85,"")</f>
        <v/>
      </c>
    </row>
    <row r="86" customFormat="false" ht="15" hidden="false" customHeight="false" outlineLevel="0" collapsed="false">
      <c r="E86" s="0" t="str">
        <f aca="false">IF(C86&lt;&gt;"",C86*D86,"")</f>
        <v/>
      </c>
    </row>
    <row r="87" customFormat="false" ht="15" hidden="false" customHeight="false" outlineLevel="0" collapsed="false">
      <c r="E87" s="0" t="str">
        <f aca="false">IF(C87&lt;&gt;"",C87*D87,"")</f>
        <v/>
      </c>
    </row>
    <row r="88" customFormat="false" ht="15" hidden="false" customHeight="false" outlineLevel="0" collapsed="false">
      <c r="E88" s="0" t="str">
        <f aca="false">IF(C88&lt;&gt;"",C88*D88,"")</f>
        <v/>
      </c>
    </row>
    <row r="89" customFormat="false" ht="15" hidden="false" customHeight="false" outlineLevel="0" collapsed="false">
      <c r="E89" s="0" t="str">
        <f aca="false">IF(C89&lt;&gt;"",C89*D89,"")</f>
        <v/>
      </c>
    </row>
    <row r="90" customFormat="false" ht="15" hidden="false" customHeight="false" outlineLevel="0" collapsed="false">
      <c r="E90" s="0" t="str">
        <f aca="false">IF(C90&lt;&gt;"",C90*D90,"")</f>
        <v/>
      </c>
    </row>
    <row r="91" customFormat="false" ht="15" hidden="false" customHeight="false" outlineLevel="0" collapsed="false">
      <c r="E91" s="0" t="str">
        <f aca="false">IF(C91&lt;&gt;"",C91*D91,"")</f>
        <v/>
      </c>
    </row>
    <row r="92" customFormat="false" ht="15" hidden="false" customHeight="false" outlineLevel="0" collapsed="false">
      <c r="E92" s="0" t="str">
        <f aca="false">IF(C92&lt;&gt;"",C92*D92,"")</f>
        <v/>
      </c>
    </row>
    <row r="93" customFormat="false" ht="15" hidden="false" customHeight="false" outlineLevel="0" collapsed="false">
      <c r="E93" s="0" t="str">
        <f aca="false">IF(C93&lt;&gt;"",C93*D93,"")</f>
        <v/>
      </c>
    </row>
    <row r="94" customFormat="false" ht="15" hidden="false" customHeight="false" outlineLevel="0" collapsed="false">
      <c r="E94" s="0" t="str">
        <f aca="false">IF(C94&lt;&gt;"",C94*D94,"")</f>
        <v/>
      </c>
    </row>
    <row r="95" customFormat="false" ht="15" hidden="false" customHeight="false" outlineLevel="0" collapsed="false">
      <c r="E95" s="0" t="str">
        <f aca="false">IF(C95&lt;&gt;"",C95*D95,"")</f>
        <v/>
      </c>
    </row>
    <row r="96" customFormat="false" ht="15" hidden="false" customHeight="false" outlineLevel="0" collapsed="false">
      <c r="E96" s="0" t="str">
        <f aca="false">IF(C96&lt;&gt;"",C96*D96,"")</f>
        <v/>
      </c>
    </row>
    <row r="97" customFormat="false" ht="15" hidden="false" customHeight="false" outlineLevel="0" collapsed="false">
      <c r="E97" s="0" t="str">
        <f aca="false">IF(C97&lt;&gt;"",C97*D97,"")</f>
        <v/>
      </c>
    </row>
    <row r="98" customFormat="false" ht="15" hidden="false" customHeight="false" outlineLevel="0" collapsed="false">
      <c r="E98" s="0" t="str">
        <f aca="false">IF(C98&lt;&gt;"",C98*D98,"")</f>
        <v/>
      </c>
    </row>
    <row r="99" customFormat="false" ht="15" hidden="false" customHeight="false" outlineLevel="0" collapsed="false">
      <c r="E99" s="0" t="str">
        <f aca="false">IF(C99&lt;&gt;"",C99*D99,"")</f>
        <v/>
      </c>
    </row>
    <row r="100" customFormat="false" ht="15" hidden="false" customHeight="false" outlineLevel="0" collapsed="false">
      <c r="E100" s="0" t="str">
        <f aca="false">IF(C100&lt;&gt;"",C100*D100,"")</f>
        <v/>
      </c>
    </row>
    <row r="101" customFormat="false" ht="15" hidden="false" customHeight="false" outlineLevel="0" collapsed="false">
      <c r="E101" s="0" t="str">
        <f aca="false">IF(C101&lt;&gt;"",C101*D101,"")</f>
        <v/>
      </c>
    </row>
    <row r="102" customFormat="false" ht="15" hidden="false" customHeight="false" outlineLevel="0" collapsed="false">
      <c r="E102" s="0" t="str">
        <f aca="false">IF(C102&lt;&gt;"",C102*D102,"")</f>
        <v/>
      </c>
    </row>
    <row r="103" customFormat="false" ht="15" hidden="false" customHeight="false" outlineLevel="0" collapsed="false">
      <c r="E103" s="0" t="str">
        <f aca="false">IF(C103&lt;&gt;"",C103*D103,"")</f>
        <v/>
      </c>
    </row>
    <row r="104" customFormat="false" ht="15" hidden="false" customHeight="false" outlineLevel="0" collapsed="false">
      <c r="E104" s="0" t="str">
        <f aca="false">IF(C104&lt;&gt;"",C104*D104,"")</f>
        <v/>
      </c>
    </row>
    <row r="105" customFormat="false" ht="15" hidden="false" customHeight="false" outlineLevel="0" collapsed="false">
      <c r="E105" s="0" t="str">
        <f aca="false">IF(C105&lt;&gt;"",C105*D105,"")</f>
        <v/>
      </c>
    </row>
    <row r="106" customFormat="false" ht="15" hidden="false" customHeight="false" outlineLevel="0" collapsed="false">
      <c r="E106" s="0" t="str">
        <f aca="false">IF(C106&lt;&gt;"",C106*D106,"")</f>
        <v/>
      </c>
    </row>
    <row r="107" customFormat="false" ht="15" hidden="false" customHeight="false" outlineLevel="0" collapsed="false">
      <c r="E107" s="0" t="str">
        <f aca="false">IF(C107&lt;&gt;"",C107*D107,"")</f>
        <v/>
      </c>
    </row>
    <row r="108" customFormat="false" ht="15" hidden="false" customHeight="false" outlineLevel="0" collapsed="false">
      <c r="E108" s="0" t="str">
        <f aca="false">IF(C108&lt;&gt;"",C108*D108,"")</f>
        <v/>
      </c>
    </row>
    <row r="109" customFormat="false" ht="15" hidden="false" customHeight="false" outlineLevel="0" collapsed="false">
      <c r="E109" s="0" t="str">
        <f aca="false">IF(C109&lt;&gt;"",C109*D109,"")</f>
        <v/>
      </c>
    </row>
    <row r="110" customFormat="false" ht="15" hidden="false" customHeight="false" outlineLevel="0" collapsed="false">
      <c r="E110" s="0" t="str">
        <f aca="false">IF(C110&lt;&gt;"",C110*D110,"")</f>
        <v/>
      </c>
    </row>
    <row r="111" customFormat="false" ht="15" hidden="false" customHeight="false" outlineLevel="0" collapsed="false">
      <c r="E111" s="0" t="str">
        <f aca="false">IF(C111&lt;&gt;"",C111*D111,"")</f>
        <v/>
      </c>
    </row>
    <row r="112" customFormat="false" ht="15" hidden="false" customHeight="false" outlineLevel="0" collapsed="false">
      <c r="E112" s="0" t="str">
        <f aca="false">IF(C112&lt;&gt;"",C112*D112,"")</f>
        <v/>
      </c>
    </row>
    <row r="113" customFormat="false" ht="15" hidden="false" customHeight="false" outlineLevel="0" collapsed="false">
      <c r="E113" s="0" t="str">
        <f aca="false">IF(C113&lt;&gt;"",C113*D113,"")</f>
        <v/>
      </c>
    </row>
    <row r="114" customFormat="false" ht="15" hidden="false" customHeight="false" outlineLevel="0" collapsed="false">
      <c r="E114" s="0" t="str">
        <f aca="false">IF(C114&lt;&gt;"",C114*D114,"")</f>
        <v/>
      </c>
    </row>
    <row r="115" customFormat="false" ht="15" hidden="false" customHeight="false" outlineLevel="0" collapsed="false">
      <c r="E115" s="0" t="str">
        <f aca="false">IF(C115&lt;&gt;"",C115*D115,"")</f>
        <v/>
      </c>
    </row>
    <row r="116" customFormat="false" ht="15" hidden="false" customHeight="false" outlineLevel="0" collapsed="false">
      <c r="E116" s="0" t="str">
        <f aca="false">IF(C116&lt;&gt;"",C116*D116,"")</f>
        <v/>
      </c>
    </row>
    <row r="117" customFormat="false" ht="15" hidden="false" customHeight="false" outlineLevel="0" collapsed="false">
      <c r="E117" s="0" t="str">
        <f aca="false">IF(C117&lt;&gt;"",C117*D117,"")</f>
        <v/>
      </c>
    </row>
    <row r="118" customFormat="false" ht="15" hidden="false" customHeight="false" outlineLevel="0" collapsed="false">
      <c r="E118" s="0" t="str">
        <f aca="false">IF(C118&lt;&gt;"",C118*D118,"")</f>
        <v/>
      </c>
    </row>
    <row r="119" customFormat="false" ht="15" hidden="false" customHeight="false" outlineLevel="0" collapsed="false">
      <c r="E119" s="0" t="str">
        <f aca="false">IF(C119&lt;&gt;"",C119*D119,"")</f>
        <v/>
      </c>
    </row>
    <row r="120" customFormat="false" ht="15" hidden="false" customHeight="false" outlineLevel="0" collapsed="false">
      <c r="E120" s="0" t="str">
        <f aca="false">IF(C120&lt;&gt;"",C120*D120,"")</f>
        <v/>
      </c>
    </row>
    <row r="121" customFormat="false" ht="15" hidden="false" customHeight="false" outlineLevel="0" collapsed="false">
      <c r="E121" s="0" t="str">
        <f aca="false">IF(C121&lt;&gt;"",C121*D121,"")</f>
        <v/>
      </c>
    </row>
    <row r="122" customFormat="false" ht="15" hidden="false" customHeight="false" outlineLevel="0" collapsed="false">
      <c r="E122" s="0" t="str">
        <f aca="false">IF(C122&lt;&gt;"",C122*D122,"")</f>
        <v/>
      </c>
    </row>
    <row r="123" customFormat="false" ht="15" hidden="false" customHeight="false" outlineLevel="0" collapsed="false">
      <c r="E123" s="0" t="str">
        <f aca="false">IF(C123&lt;&gt;"",C123*D123,"")</f>
        <v/>
      </c>
    </row>
    <row r="124" customFormat="false" ht="15" hidden="false" customHeight="false" outlineLevel="0" collapsed="false">
      <c r="E124" s="0" t="str">
        <f aca="false">IF(C124&lt;&gt;"",C124*D124,"")</f>
        <v/>
      </c>
    </row>
    <row r="125" customFormat="false" ht="15" hidden="false" customHeight="false" outlineLevel="0" collapsed="false">
      <c r="E125" s="0" t="str">
        <f aca="false">IF(C125&lt;&gt;"",C125*D125,"")</f>
        <v/>
      </c>
    </row>
    <row r="126" customFormat="false" ht="15" hidden="false" customHeight="false" outlineLevel="0" collapsed="false">
      <c r="E126" s="0" t="str">
        <f aca="false">IF(C126&lt;&gt;"",C126*D126,"")</f>
        <v/>
      </c>
    </row>
    <row r="127" customFormat="false" ht="15" hidden="false" customHeight="false" outlineLevel="0" collapsed="false">
      <c r="E127" s="0" t="str">
        <f aca="false">IF(C127&lt;&gt;"",C127*D127,"")</f>
        <v/>
      </c>
    </row>
    <row r="128" customFormat="false" ht="15" hidden="false" customHeight="false" outlineLevel="0" collapsed="false">
      <c r="E128" s="0" t="str">
        <f aca="false">IF(C128&lt;&gt;"",C128*D128,"")</f>
        <v/>
      </c>
    </row>
    <row r="129" customFormat="false" ht="15" hidden="false" customHeight="false" outlineLevel="0" collapsed="false">
      <c r="E129" s="0" t="str">
        <f aca="false">IF(C129&lt;&gt;"",C129*D129,"")</f>
        <v/>
      </c>
    </row>
    <row r="130" customFormat="false" ht="15" hidden="false" customHeight="false" outlineLevel="0" collapsed="false">
      <c r="E130" s="0" t="str">
        <f aca="false">IF(C130&lt;&gt;"",C130*D130,"")</f>
        <v/>
      </c>
    </row>
    <row r="131" customFormat="false" ht="15" hidden="false" customHeight="false" outlineLevel="0" collapsed="false">
      <c r="E131" s="0" t="str">
        <f aca="false">IF(C131&lt;&gt;"",C131*D131,"")</f>
        <v/>
      </c>
    </row>
    <row r="132" customFormat="false" ht="15" hidden="false" customHeight="false" outlineLevel="0" collapsed="false">
      <c r="E132" s="0" t="str">
        <f aca="false">IF(C132&lt;&gt;"",C132*D132,"")</f>
        <v/>
      </c>
    </row>
    <row r="133" customFormat="false" ht="15" hidden="false" customHeight="false" outlineLevel="0" collapsed="false">
      <c r="E133" s="0" t="str">
        <f aca="false">IF(C133&lt;&gt;"",C133*D133,"")</f>
        <v/>
      </c>
    </row>
    <row r="134" customFormat="false" ht="15" hidden="false" customHeight="false" outlineLevel="0" collapsed="false">
      <c r="E134" s="0" t="str">
        <f aca="false">IF(C134&lt;&gt;"",C134*D134,"")</f>
        <v/>
      </c>
    </row>
    <row r="135" customFormat="false" ht="15" hidden="false" customHeight="false" outlineLevel="0" collapsed="false">
      <c r="E135" s="0" t="str">
        <f aca="false">IF(C135&lt;&gt;"",C135*D135,"")</f>
        <v/>
      </c>
    </row>
    <row r="136" customFormat="false" ht="15" hidden="false" customHeight="false" outlineLevel="0" collapsed="false">
      <c r="E136" s="0" t="str">
        <f aca="false">IF(C136&lt;&gt;"",C136*D136,"")</f>
        <v/>
      </c>
    </row>
    <row r="137" customFormat="false" ht="15" hidden="false" customHeight="false" outlineLevel="0" collapsed="false">
      <c r="E137" s="0" t="str">
        <f aca="false">IF(C137&lt;&gt;"",C137*D137,"")</f>
        <v/>
      </c>
    </row>
    <row r="138" customFormat="false" ht="15" hidden="false" customHeight="false" outlineLevel="0" collapsed="false">
      <c r="E138" s="0" t="str">
        <f aca="false">IF(C138&lt;&gt;"",C138*D138,"")</f>
        <v/>
      </c>
    </row>
    <row r="139" customFormat="false" ht="15" hidden="false" customHeight="false" outlineLevel="0" collapsed="false">
      <c r="E139" s="0" t="str">
        <f aca="false">IF(C139&lt;&gt;"",C139*D139,"")</f>
        <v/>
      </c>
    </row>
    <row r="140" customFormat="false" ht="15" hidden="false" customHeight="false" outlineLevel="0" collapsed="false">
      <c r="E140" s="0" t="str">
        <f aca="false">IF(C140&lt;&gt;"",C140*D140,"")</f>
        <v/>
      </c>
    </row>
    <row r="141" customFormat="false" ht="15" hidden="false" customHeight="false" outlineLevel="0" collapsed="false">
      <c r="E141" s="0" t="str">
        <f aca="false">IF(C141&lt;&gt;"",C141*D141,"")</f>
        <v/>
      </c>
    </row>
    <row r="142" customFormat="false" ht="15" hidden="false" customHeight="false" outlineLevel="0" collapsed="false">
      <c r="E142" s="0" t="str">
        <f aca="false">IF(C142&lt;&gt;"",C142*D142,"")</f>
        <v/>
      </c>
    </row>
    <row r="143" customFormat="false" ht="15" hidden="false" customHeight="false" outlineLevel="0" collapsed="false">
      <c r="E143" s="0" t="str">
        <f aca="false">IF(C143&lt;&gt;"",C143*D143,"")</f>
        <v/>
      </c>
    </row>
    <row r="144" customFormat="false" ht="15" hidden="false" customHeight="false" outlineLevel="0" collapsed="false">
      <c r="E144" s="0" t="str">
        <f aca="false">IF(C144&lt;&gt;"",C144*D144,"")</f>
        <v/>
      </c>
    </row>
    <row r="145" customFormat="false" ht="15" hidden="false" customHeight="false" outlineLevel="0" collapsed="false">
      <c r="E145" s="0" t="str">
        <f aca="false">IF(C145&lt;&gt;"",C145*D145,"")</f>
        <v/>
      </c>
    </row>
    <row r="146" customFormat="false" ht="15" hidden="false" customHeight="false" outlineLevel="0" collapsed="false">
      <c r="E146" s="0" t="str">
        <f aca="false">IF(C146&lt;&gt;"",C146*D146,"")</f>
        <v/>
      </c>
    </row>
    <row r="147" customFormat="false" ht="15" hidden="false" customHeight="false" outlineLevel="0" collapsed="false">
      <c r="E147" s="0" t="str">
        <f aca="false">IF(C147&lt;&gt;"",C147*D147,"")</f>
        <v/>
      </c>
    </row>
    <row r="148" customFormat="false" ht="15" hidden="false" customHeight="false" outlineLevel="0" collapsed="false">
      <c r="E148" s="0" t="str">
        <f aca="false">IF(C148&lt;&gt;"",C148*D148,"")</f>
        <v/>
      </c>
    </row>
    <row r="149" customFormat="false" ht="15" hidden="false" customHeight="false" outlineLevel="0" collapsed="false">
      <c r="E149" s="0" t="str">
        <f aca="false">IF(C149&lt;&gt;"",C149*D149,"")</f>
        <v/>
      </c>
    </row>
    <row r="150" customFormat="false" ht="15" hidden="false" customHeight="false" outlineLevel="0" collapsed="false">
      <c r="E150" s="0" t="str">
        <f aca="false">IF(C150&lt;&gt;"",C150*D150,"")</f>
        <v/>
      </c>
    </row>
    <row r="151" customFormat="false" ht="15" hidden="false" customHeight="false" outlineLevel="0" collapsed="false">
      <c r="E151" s="0" t="str">
        <f aca="false">IF(C151&lt;&gt;"",C151*D151,"")</f>
        <v/>
      </c>
    </row>
    <row r="152" customFormat="false" ht="15" hidden="false" customHeight="false" outlineLevel="0" collapsed="false">
      <c r="E152" s="0" t="str">
        <f aca="false">IF(C152&lt;&gt;"",C152*D152,"")</f>
        <v/>
      </c>
    </row>
    <row r="153" customFormat="false" ht="15" hidden="false" customHeight="false" outlineLevel="0" collapsed="false">
      <c r="E153" s="0" t="str">
        <f aca="false">IF(C153&lt;&gt;"",C153*D153,"")</f>
        <v/>
      </c>
    </row>
    <row r="154" customFormat="false" ht="15" hidden="false" customHeight="false" outlineLevel="0" collapsed="false">
      <c r="E154" s="0" t="str">
        <f aca="false">IF(C154&lt;&gt;"",C154*D154,"")</f>
        <v/>
      </c>
    </row>
    <row r="155" customFormat="false" ht="15" hidden="false" customHeight="false" outlineLevel="0" collapsed="false">
      <c r="E155" s="0" t="str">
        <f aca="false">IF(C155&lt;&gt;"",C155*D155,"")</f>
        <v/>
      </c>
    </row>
    <row r="156" customFormat="false" ht="15" hidden="false" customHeight="false" outlineLevel="0" collapsed="false">
      <c r="E156" s="0" t="str">
        <f aca="false">IF(C156&lt;&gt;"",C156*D156,"")</f>
        <v/>
      </c>
    </row>
    <row r="157" customFormat="false" ht="15" hidden="false" customHeight="false" outlineLevel="0" collapsed="false">
      <c r="E157" s="0" t="str">
        <f aca="false">IF(C157&lt;&gt;"",C157*D157,"")</f>
        <v/>
      </c>
    </row>
    <row r="158" customFormat="false" ht="15" hidden="false" customHeight="false" outlineLevel="0" collapsed="false">
      <c r="E158" s="0" t="str">
        <f aca="false">IF(C158&lt;&gt;"",C158*D158,"")</f>
        <v/>
      </c>
    </row>
    <row r="159" customFormat="false" ht="15" hidden="false" customHeight="false" outlineLevel="0" collapsed="false">
      <c r="E159" s="0" t="str">
        <f aca="false">IF(C159&lt;&gt;"",C159*D159,"")</f>
        <v/>
      </c>
    </row>
    <row r="160" customFormat="false" ht="15" hidden="false" customHeight="false" outlineLevel="0" collapsed="false">
      <c r="E160" s="0" t="str">
        <f aca="false">IF(C160&lt;&gt;"",C160*D160,"")</f>
        <v/>
      </c>
    </row>
    <row r="161" customFormat="false" ht="15" hidden="false" customHeight="false" outlineLevel="0" collapsed="false">
      <c r="E161" s="0" t="str">
        <f aca="false">IF(C161&lt;&gt;"",C161*D161,"")</f>
        <v/>
      </c>
    </row>
    <row r="162" customFormat="false" ht="15" hidden="false" customHeight="false" outlineLevel="0" collapsed="false">
      <c r="E162" s="0" t="str">
        <f aca="false">IF(C162&lt;&gt;"",C162*D162,"")</f>
        <v/>
      </c>
    </row>
    <row r="163" customFormat="false" ht="15" hidden="false" customHeight="false" outlineLevel="0" collapsed="false">
      <c r="E163" s="0" t="str">
        <f aca="false">IF(C163&lt;&gt;"",C163*D163,"")</f>
        <v/>
      </c>
    </row>
    <row r="164" customFormat="false" ht="15" hidden="false" customHeight="false" outlineLevel="0" collapsed="false">
      <c r="E164" s="0" t="str">
        <f aca="false">IF(C164&lt;&gt;"",C164*D164,"")</f>
        <v/>
      </c>
    </row>
    <row r="165" customFormat="false" ht="15" hidden="false" customHeight="false" outlineLevel="0" collapsed="false">
      <c r="E165" s="0" t="str">
        <f aca="false">IF(C165&lt;&gt;"",C165*D165,"")</f>
        <v/>
      </c>
    </row>
    <row r="166" customFormat="false" ht="15" hidden="false" customHeight="false" outlineLevel="0" collapsed="false">
      <c r="E166" s="0" t="str">
        <f aca="false">IF(C166&lt;&gt;"",C166*D166,"")</f>
        <v/>
      </c>
    </row>
    <row r="167" customFormat="false" ht="15" hidden="false" customHeight="false" outlineLevel="0" collapsed="false">
      <c r="E167" s="0" t="str">
        <f aca="false">IF(C167&lt;&gt;"",C167*D167,"")</f>
        <v/>
      </c>
    </row>
    <row r="168" customFormat="false" ht="15" hidden="false" customHeight="false" outlineLevel="0" collapsed="false">
      <c r="E168" s="0" t="str">
        <f aca="false">IF(C168&lt;&gt;"",C168*D168,"")</f>
        <v/>
      </c>
    </row>
    <row r="169" customFormat="false" ht="15" hidden="false" customHeight="false" outlineLevel="0" collapsed="false">
      <c r="E169" s="0" t="str">
        <f aca="false">IF(C169&lt;&gt;"",C169*D169,"")</f>
        <v/>
      </c>
    </row>
    <row r="170" customFormat="false" ht="15" hidden="false" customHeight="false" outlineLevel="0" collapsed="false">
      <c r="E170" s="0" t="str">
        <f aca="false">IF(C170&lt;&gt;"",C170*D170,"")</f>
        <v/>
      </c>
    </row>
    <row r="171" customFormat="false" ht="15" hidden="false" customHeight="false" outlineLevel="0" collapsed="false">
      <c r="E171" s="0" t="str">
        <f aca="false">IF(C171&lt;&gt;"",C171*D171,"")</f>
        <v/>
      </c>
    </row>
    <row r="172" customFormat="false" ht="15" hidden="false" customHeight="false" outlineLevel="0" collapsed="false">
      <c r="E172" s="0" t="str">
        <f aca="false">IF(C172&lt;&gt;"",C172*D172,"")</f>
        <v/>
      </c>
    </row>
    <row r="173" customFormat="false" ht="15" hidden="false" customHeight="false" outlineLevel="0" collapsed="false">
      <c r="E173" s="0" t="str">
        <f aca="false">IF(C173&lt;&gt;"",C173*D173,"")</f>
        <v/>
      </c>
    </row>
    <row r="174" customFormat="false" ht="15" hidden="false" customHeight="false" outlineLevel="0" collapsed="false">
      <c r="E174" s="0" t="str">
        <f aca="false">IF(C174&lt;&gt;"",C174*D174,"")</f>
        <v/>
      </c>
    </row>
    <row r="175" customFormat="false" ht="15" hidden="false" customHeight="false" outlineLevel="0" collapsed="false">
      <c r="E175" s="0" t="str">
        <f aca="false">IF(C175&lt;&gt;"",C175*D175,"")</f>
        <v/>
      </c>
    </row>
    <row r="176" customFormat="false" ht="15" hidden="false" customHeight="false" outlineLevel="0" collapsed="false">
      <c r="E176" s="0" t="str">
        <f aca="false">IF(C176&lt;&gt;"",C176*D176,"")</f>
        <v/>
      </c>
    </row>
    <row r="177" customFormat="false" ht="15" hidden="false" customHeight="false" outlineLevel="0" collapsed="false">
      <c r="E177" s="0" t="str">
        <f aca="false">IF(C177&lt;&gt;"",C177*D177,"")</f>
        <v/>
      </c>
    </row>
    <row r="178" customFormat="false" ht="15" hidden="false" customHeight="false" outlineLevel="0" collapsed="false">
      <c r="E178" s="0" t="str">
        <f aca="false">IF(C178&lt;&gt;"",C178*D178,"")</f>
        <v/>
      </c>
    </row>
    <row r="179" customFormat="false" ht="15" hidden="false" customHeight="false" outlineLevel="0" collapsed="false">
      <c r="E179" s="0" t="str">
        <f aca="false">IF(C179&lt;&gt;"",C179*D179,"")</f>
        <v/>
      </c>
    </row>
    <row r="180" customFormat="false" ht="15" hidden="false" customHeight="false" outlineLevel="0" collapsed="false">
      <c r="E180" s="0" t="str">
        <f aca="false">IF(C180&lt;&gt;"",C180*D180,"")</f>
        <v/>
      </c>
    </row>
    <row r="181" customFormat="false" ht="15" hidden="false" customHeight="false" outlineLevel="0" collapsed="false">
      <c r="E181" s="0" t="str">
        <f aca="false">IF(C181&lt;&gt;"",C181*D181,"")</f>
        <v/>
      </c>
    </row>
    <row r="182" customFormat="false" ht="15" hidden="false" customHeight="false" outlineLevel="0" collapsed="false">
      <c r="E182" s="0" t="str">
        <f aca="false">IF(C182&lt;&gt;"",C182*D182,"")</f>
        <v/>
      </c>
    </row>
    <row r="183" customFormat="false" ht="15" hidden="false" customHeight="false" outlineLevel="0" collapsed="false">
      <c r="E183" s="0" t="str">
        <f aca="false">IF(C183&lt;&gt;"",C183*D183,"")</f>
        <v/>
      </c>
    </row>
    <row r="184" customFormat="false" ht="15" hidden="false" customHeight="false" outlineLevel="0" collapsed="false">
      <c r="E184" s="0" t="str">
        <f aca="false">IF(C184&lt;&gt;"",C184*D184,"")</f>
        <v/>
      </c>
    </row>
    <row r="185" customFormat="false" ht="15" hidden="false" customHeight="false" outlineLevel="0" collapsed="false">
      <c r="E185" s="0" t="str">
        <f aca="false">IF(C185&lt;&gt;"",C185*D185,"")</f>
        <v/>
      </c>
    </row>
    <row r="186" customFormat="false" ht="15" hidden="false" customHeight="false" outlineLevel="0" collapsed="false">
      <c r="E186" s="0" t="str">
        <f aca="false">IF(C186&lt;&gt;"",C186*D186,"")</f>
        <v/>
      </c>
    </row>
    <row r="187" customFormat="false" ht="15" hidden="false" customHeight="false" outlineLevel="0" collapsed="false">
      <c r="E187" s="0" t="str">
        <f aca="false">IF(C187&lt;&gt;"",C187*D187,"")</f>
        <v/>
      </c>
    </row>
    <row r="188" customFormat="false" ht="15" hidden="false" customHeight="false" outlineLevel="0" collapsed="false">
      <c r="E188" s="0" t="str">
        <f aca="false">IF(C188&lt;&gt;"",C188*D188,"")</f>
        <v/>
      </c>
    </row>
    <row r="189" customFormat="false" ht="15" hidden="false" customHeight="false" outlineLevel="0" collapsed="false">
      <c r="E189" s="0" t="str">
        <f aca="false">IF(C189&lt;&gt;"",C189*D189,"")</f>
        <v/>
      </c>
    </row>
    <row r="190" customFormat="false" ht="15" hidden="false" customHeight="false" outlineLevel="0" collapsed="false">
      <c r="E190" s="0" t="str">
        <f aca="false">IF(C190&lt;&gt;"",C190*D190,"")</f>
        <v/>
      </c>
    </row>
    <row r="191" customFormat="false" ht="15" hidden="false" customHeight="false" outlineLevel="0" collapsed="false">
      <c r="E191" s="0" t="str">
        <f aca="false">IF(C191&lt;&gt;"",C191*D191,"")</f>
        <v/>
      </c>
    </row>
    <row r="192" customFormat="false" ht="15" hidden="false" customHeight="false" outlineLevel="0" collapsed="false">
      <c r="E192" s="0" t="str">
        <f aca="false">IF(C192&lt;&gt;"",C192*D192,"")</f>
        <v/>
      </c>
    </row>
    <row r="193" customFormat="false" ht="15" hidden="false" customHeight="false" outlineLevel="0" collapsed="false">
      <c r="E193" s="0" t="str">
        <f aca="false">IF(C193&lt;&gt;"",C193*D193,"")</f>
        <v/>
      </c>
    </row>
    <row r="194" customFormat="false" ht="15" hidden="false" customHeight="false" outlineLevel="0" collapsed="false">
      <c r="E194" s="0" t="str">
        <f aca="false">IF(C194&lt;&gt;"",C194*D194,"")</f>
        <v/>
      </c>
    </row>
    <row r="195" customFormat="false" ht="15" hidden="false" customHeight="false" outlineLevel="0" collapsed="false">
      <c r="E195" s="0" t="str">
        <f aca="false">IF(C195&lt;&gt;"",C195*D195,"")</f>
        <v/>
      </c>
    </row>
    <row r="196" customFormat="false" ht="15" hidden="false" customHeight="false" outlineLevel="0" collapsed="false">
      <c r="E196" s="0" t="str">
        <f aca="false">IF(C196&lt;&gt;"",C196*D196,"")</f>
        <v/>
      </c>
    </row>
    <row r="197" customFormat="false" ht="15" hidden="false" customHeight="false" outlineLevel="0" collapsed="false">
      <c r="E197" s="0" t="str">
        <f aca="false">IF(C197&lt;&gt;"",C197*D197,"")</f>
        <v/>
      </c>
    </row>
    <row r="198" customFormat="false" ht="15" hidden="false" customHeight="false" outlineLevel="0" collapsed="false">
      <c r="E198" s="0" t="str">
        <f aca="false">IF(C198&lt;&gt;"",C198*D198,"")</f>
        <v/>
      </c>
    </row>
    <row r="199" customFormat="false" ht="15" hidden="false" customHeight="false" outlineLevel="0" collapsed="false">
      <c r="E199" s="0" t="str">
        <f aca="false">IF(C199&lt;&gt;"",C199*D199,"")</f>
        <v/>
      </c>
    </row>
    <row r="200" customFormat="false" ht="15" hidden="false" customHeight="false" outlineLevel="0" collapsed="false">
      <c r="E200" s="0" t="str">
        <f aca="false">IF(C200&lt;&gt;"",C200*D200,"")</f>
        <v/>
      </c>
    </row>
    <row r="201" customFormat="false" ht="15" hidden="false" customHeight="false" outlineLevel="0" collapsed="false">
      <c r="E201" s="0" t="str">
        <f aca="false">IF(C201&lt;&gt;"",C201*D201,"")</f>
        <v/>
      </c>
    </row>
    <row r="202" customFormat="false" ht="15" hidden="false" customHeight="false" outlineLevel="0" collapsed="false">
      <c r="E202" s="0" t="str">
        <f aca="false">IF(C202&lt;&gt;"",C202*D202,"")</f>
        <v/>
      </c>
    </row>
    <row r="203" customFormat="false" ht="15" hidden="false" customHeight="false" outlineLevel="0" collapsed="false">
      <c r="E203" s="0" t="str">
        <f aca="false">IF(C203&lt;&gt;"",C203*D203,"")</f>
        <v/>
      </c>
    </row>
    <row r="204" customFormat="false" ht="15" hidden="false" customHeight="false" outlineLevel="0" collapsed="false">
      <c r="E204" s="0" t="str">
        <f aca="false">IF(C204&lt;&gt;"",C204*D204,"")</f>
        <v/>
      </c>
    </row>
    <row r="205" customFormat="false" ht="15" hidden="false" customHeight="false" outlineLevel="0" collapsed="false">
      <c r="E205" s="0" t="str">
        <f aca="false">IF(C205&lt;&gt;"",C205*D205,"")</f>
        <v/>
      </c>
    </row>
    <row r="206" customFormat="false" ht="15" hidden="false" customHeight="false" outlineLevel="0" collapsed="false">
      <c r="E206" s="0" t="str">
        <f aca="false">IF(C206&lt;&gt;"",C206*D206,"")</f>
        <v/>
      </c>
    </row>
    <row r="207" customFormat="false" ht="15" hidden="false" customHeight="false" outlineLevel="0" collapsed="false">
      <c r="E207" s="0" t="str">
        <f aca="false">IF(C207&lt;&gt;"",C207*D207,"")</f>
        <v/>
      </c>
    </row>
    <row r="208" customFormat="false" ht="15" hidden="false" customHeight="false" outlineLevel="0" collapsed="false">
      <c r="E208" s="0" t="str">
        <f aca="false">IF(C208&lt;&gt;"",C208*D208,"")</f>
        <v/>
      </c>
    </row>
    <row r="209" customFormat="false" ht="15" hidden="false" customHeight="false" outlineLevel="0" collapsed="false">
      <c r="E209" s="0" t="str">
        <f aca="false">IF(C209&lt;&gt;"",C209*D209,"")</f>
        <v/>
      </c>
    </row>
    <row r="210" customFormat="false" ht="15" hidden="false" customHeight="false" outlineLevel="0" collapsed="false">
      <c r="E210" s="0" t="str">
        <f aca="false">IF(C210&lt;&gt;"",C210*D210,"")</f>
        <v/>
      </c>
    </row>
    <row r="211" customFormat="false" ht="15" hidden="false" customHeight="false" outlineLevel="0" collapsed="false">
      <c r="E211" s="0" t="str">
        <f aca="false">IF(C211&lt;&gt;"",C211*D211,"")</f>
        <v/>
      </c>
    </row>
    <row r="212" customFormat="false" ht="15" hidden="false" customHeight="false" outlineLevel="0" collapsed="false">
      <c r="E212" s="0" t="str">
        <f aca="false">IF(C212&lt;&gt;"",C212*D212,"")</f>
        <v/>
      </c>
    </row>
    <row r="213" customFormat="false" ht="15" hidden="false" customHeight="false" outlineLevel="0" collapsed="false">
      <c r="E213" s="0" t="str">
        <f aca="false">IF(C213&lt;&gt;"",C213*D213,"")</f>
        <v/>
      </c>
    </row>
    <row r="214" customFormat="false" ht="15" hidden="false" customHeight="false" outlineLevel="0" collapsed="false">
      <c r="E214" s="0" t="str">
        <f aca="false">IF(C214&lt;&gt;"",C214*D214,"")</f>
        <v/>
      </c>
    </row>
    <row r="215" customFormat="false" ht="15" hidden="false" customHeight="false" outlineLevel="0" collapsed="false">
      <c r="E215" s="0" t="str">
        <f aca="false">IF(C215&lt;&gt;"",C215*D215,"")</f>
        <v/>
      </c>
    </row>
    <row r="216" customFormat="false" ht="15" hidden="false" customHeight="false" outlineLevel="0" collapsed="false">
      <c r="E216" s="0" t="str">
        <f aca="false">IF(C216&lt;&gt;"",C216*D216,"")</f>
        <v/>
      </c>
    </row>
    <row r="217" customFormat="false" ht="15" hidden="false" customHeight="false" outlineLevel="0" collapsed="false">
      <c r="E217" s="0" t="str">
        <f aca="false">IF(C217&lt;&gt;"",C217*D217,"")</f>
        <v/>
      </c>
    </row>
    <row r="218" customFormat="false" ht="15" hidden="false" customHeight="false" outlineLevel="0" collapsed="false">
      <c r="E218" s="0" t="str">
        <f aca="false">IF(C218&lt;&gt;"",C218*D218,"")</f>
        <v/>
      </c>
    </row>
    <row r="219" customFormat="false" ht="15" hidden="false" customHeight="false" outlineLevel="0" collapsed="false">
      <c r="E219" s="0" t="str">
        <f aca="false">IF(C219&lt;&gt;"",C219*D219,"")</f>
        <v/>
      </c>
    </row>
    <row r="220" customFormat="false" ht="15" hidden="false" customHeight="false" outlineLevel="0" collapsed="false">
      <c r="E220" s="0" t="str">
        <f aca="false">IF(C220&lt;&gt;"",C220*D220,"")</f>
        <v/>
      </c>
    </row>
    <row r="221" customFormat="false" ht="15" hidden="false" customHeight="false" outlineLevel="0" collapsed="false">
      <c r="E221" s="0" t="str">
        <f aca="false">IF(C221&lt;&gt;"",C221*D221,"")</f>
        <v/>
      </c>
    </row>
    <row r="222" customFormat="false" ht="15" hidden="false" customHeight="false" outlineLevel="0" collapsed="false">
      <c r="E222" s="0" t="str">
        <f aca="false">IF(C222&lt;&gt;"",C222*D222,"")</f>
        <v/>
      </c>
    </row>
    <row r="223" customFormat="false" ht="15" hidden="false" customHeight="false" outlineLevel="0" collapsed="false">
      <c r="E223" s="0" t="str">
        <f aca="false">IF(C223&lt;&gt;"",C223*D223,"")</f>
        <v/>
      </c>
    </row>
    <row r="224" customFormat="false" ht="15" hidden="false" customHeight="false" outlineLevel="0" collapsed="false">
      <c r="E224" s="0" t="str">
        <f aca="false">IF(C224&lt;&gt;"",C224*D224,"")</f>
        <v/>
      </c>
    </row>
    <row r="225" customFormat="false" ht="15" hidden="false" customHeight="false" outlineLevel="0" collapsed="false">
      <c r="E225" s="0" t="str">
        <f aca="false">IF(C225&lt;&gt;"",C225*D225,"")</f>
        <v/>
      </c>
    </row>
    <row r="226" customFormat="false" ht="15" hidden="false" customHeight="false" outlineLevel="0" collapsed="false">
      <c r="E226" s="0" t="str">
        <f aca="false">IF(C226&lt;&gt;"",C226*D226,"")</f>
        <v/>
      </c>
    </row>
    <row r="227" customFormat="false" ht="15" hidden="false" customHeight="false" outlineLevel="0" collapsed="false">
      <c r="E227" s="0" t="str">
        <f aca="false">IF(C227&lt;&gt;"",C227*D227,"")</f>
        <v/>
      </c>
    </row>
    <row r="228" customFormat="false" ht="15" hidden="false" customHeight="false" outlineLevel="0" collapsed="false">
      <c r="E228" s="0" t="str">
        <f aca="false">IF(C228&lt;&gt;"",C228*D228,"")</f>
        <v/>
      </c>
    </row>
    <row r="229" customFormat="false" ht="15" hidden="false" customHeight="false" outlineLevel="0" collapsed="false">
      <c r="E229" s="0" t="str">
        <f aca="false">IF(C229&lt;&gt;"",C229*D229,"")</f>
        <v/>
      </c>
    </row>
    <row r="230" customFormat="false" ht="15" hidden="false" customHeight="false" outlineLevel="0" collapsed="false">
      <c r="E230" s="0" t="str">
        <f aca="false">IF(C230&lt;&gt;"",C230*D230,"")</f>
        <v/>
      </c>
    </row>
    <row r="231" customFormat="false" ht="15" hidden="false" customHeight="false" outlineLevel="0" collapsed="false">
      <c r="E231" s="0" t="str">
        <f aca="false">IF(C231&lt;&gt;"",C231*D231,"")</f>
        <v/>
      </c>
    </row>
    <row r="232" customFormat="false" ht="15" hidden="false" customHeight="false" outlineLevel="0" collapsed="false">
      <c r="E232" s="0" t="str">
        <f aca="false">IF(C232&lt;&gt;"",C232*D232,"")</f>
        <v/>
      </c>
    </row>
    <row r="233" customFormat="false" ht="15" hidden="false" customHeight="false" outlineLevel="0" collapsed="false">
      <c r="E233" s="0" t="str">
        <f aca="false">IF(C233&lt;&gt;"",C233*D233,"")</f>
        <v/>
      </c>
    </row>
    <row r="234" customFormat="false" ht="15" hidden="false" customHeight="false" outlineLevel="0" collapsed="false">
      <c r="E234" s="0" t="str">
        <f aca="false">IF(C234&lt;&gt;"",C234*D234,"")</f>
        <v/>
      </c>
    </row>
    <row r="235" customFormat="false" ht="15" hidden="false" customHeight="false" outlineLevel="0" collapsed="false">
      <c r="E235" s="0" t="str">
        <f aca="false">IF(C235&lt;&gt;"",C235*D235,"")</f>
        <v/>
      </c>
    </row>
    <row r="236" customFormat="false" ht="15" hidden="false" customHeight="false" outlineLevel="0" collapsed="false">
      <c r="E236" s="0" t="str">
        <f aca="false">IF(C236&lt;&gt;"",C236*D236,"")</f>
        <v/>
      </c>
    </row>
    <row r="237" customFormat="false" ht="15" hidden="false" customHeight="false" outlineLevel="0" collapsed="false">
      <c r="E237" s="0" t="str">
        <f aca="false">IF(C237&lt;&gt;"",C237*D237,"")</f>
        <v/>
      </c>
    </row>
    <row r="238" customFormat="false" ht="15" hidden="false" customHeight="false" outlineLevel="0" collapsed="false">
      <c r="E238" s="0" t="str">
        <f aca="false">IF(C238&lt;&gt;"",C238*D238,"")</f>
        <v/>
      </c>
    </row>
    <row r="239" customFormat="false" ht="15" hidden="false" customHeight="false" outlineLevel="0" collapsed="false">
      <c r="E239" s="0" t="str">
        <f aca="false">IF(C239&lt;&gt;"",C239*D239,"")</f>
        <v/>
      </c>
    </row>
    <row r="240" customFormat="false" ht="15" hidden="false" customHeight="false" outlineLevel="0" collapsed="false">
      <c r="E240" s="0" t="str">
        <f aca="false">IF(C240&lt;&gt;"",C240*D240,"")</f>
        <v/>
      </c>
    </row>
    <row r="241" customFormat="false" ht="15" hidden="false" customHeight="false" outlineLevel="0" collapsed="false">
      <c r="E241" s="0" t="str">
        <f aca="false">IF(C241&lt;&gt;"",C241*D241,"")</f>
        <v/>
      </c>
    </row>
    <row r="242" customFormat="false" ht="15" hidden="false" customHeight="false" outlineLevel="0" collapsed="false">
      <c r="E242" s="0" t="str">
        <f aca="false">IF(C242&lt;&gt;"",C242*D242,"")</f>
        <v/>
      </c>
    </row>
    <row r="243" customFormat="false" ht="15" hidden="false" customHeight="false" outlineLevel="0" collapsed="false">
      <c r="E243" s="0" t="str">
        <f aca="false">IF(C243&lt;&gt;"",C243*D243,"")</f>
        <v/>
      </c>
    </row>
    <row r="244" customFormat="false" ht="15" hidden="false" customHeight="false" outlineLevel="0" collapsed="false">
      <c r="E244" s="0" t="str">
        <f aca="false">IF(C244&lt;&gt;"",C244*D244,"")</f>
        <v/>
      </c>
    </row>
    <row r="245" customFormat="false" ht="15" hidden="false" customHeight="false" outlineLevel="0" collapsed="false">
      <c r="E245" s="0" t="str">
        <f aca="false">IF(C245&lt;&gt;"",C245*D245,"")</f>
        <v/>
      </c>
    </row>
    <row r="246" customFormat="false" ht="15" hidden="false" customHeight="false" outlineLevel="0" collapsed="false">
      <c r="E246" s="0" t="str">
        <f aca="false">IF(C246&lt;&gt;"",C246*D246,"")</f>
        <v/>
      </c>
    </row>
    <row r="247" customFormat="false" ht="15" hidden="false" customHeight="false" outlineLevel="0" collapsed="false">
      <c r="E247" s="0" t="str">
        <f aca="false">IF(C247&lt;&gt;"",C247*D247,"")</f>
        <v/>
      </c>
    </row>
    <row r="248" customFormat="false" ht="15" hidden="false" customHeight="false" outlineLevel="0" collapsed="false">
      <c r="E248" s="0" t="str">
        <f aca="false">IF(C248&lt;&gt;"",C248*D248,"")</f>
        <v/>
      </c>
    </row>
    <row r="249" customFormat="false" ht="15" hidden="false" customHeight="false" outlineLevel="0" collapsed="false">
      <c r="E249" s="0" t="str">
        <f aca="false">IF(C249&lt;&gt;"",C249*D249,"")</f>
        <v/>
      </c>
    </row>
    <row r="250" customFormat="false" ht="15" hidden="false" customHeight="false" outlineLevel="0" collapsed="false">
      <c r="E250" s="0" t="str">
        <f aca="false">IF(C250&lt;&gt;"",C250*D250,"")</f>
        <v/>
      </c>
    </row>
    <row r="251" customFormat="false" ht="15" hidden="false" customHeight="false" outlineLevel="0" collapsed="false">
      <c r="E251" s="0" t="str">
        <f aca="false">IF(C251&lt;&gt;"",C251*D251,"")</f>
        <v/>
      </c>
    </row>
    <row r="252" customFormat="false" ht="15" hidden="false" customHeight="false" outlineLevel="0" collapsed="false">
      <c r="E252" s="0" t="str">
        <f aca="false">IF(C252&lt;&gt;"",C252*D252,"")</f>
        <v/>
      </c>
    </row>
    <row r="253" customFormat="false" ht="15" hidden="false" customHeight="false" outlineLevel="0" collapsed="false">
      <c r="E253" s="0" t="str">
        <f aca="false">IF(C253&lt;&gt;"",C253*D253,"")</f>
        <v/>
      </c>
    </row>
    <row r="254" customFormat="false" ht="15" hidden="false" customHeight="false" outlineLevel="0" collapsed="false">
      <c r="E254" s="0" t="str">
        <f aca="false">IF(C254&lt;&gt;"",C254*D254,"")</f>
        <v/>
      </c>
    </row>
    <row r="255" customFormat="false" ht="15" hidden="false" customHeight="false" outlineLevel="0" collapsed="false">
      <c r="E255" s="0" t="str">
        <f aca="false">IF(C255&lt;&gt;"",C255*D255,"")</f>
        <v/>
      </c>
    </row>
    <row r="256" customFormat="false" ht="15" hidden="false" customHeight="false" outlineLevel="0" collapsed="false">
      <c r="E256" s="0" t="str">
        <f aca="false">IF(C256&lt;&gt;"",C256*D256,"")</f>
        <v/>
      </c>
    </row>
    <row r="257" customFormat="false" ht="15" hidden="false" customHeight="false" outlineLevel="0" collapsed="false">
      <c r="E257" s="0" t="str">
        <f aca="false">IF(C257&lt;&gt;"",C257*D257,"")</f>
        <v/>
      </c>
    </row>
    <row r="258" customFormat="false" ht="15" hidden="false" customHeight="false" outlineLevel="0" collapsed="false">
      <c r="E258" s="0" t="str">
        <f aca="false">IF(C258&lt;&gt;"",C258*D258,"")</f>
        <v/>
      </c>
    </row>
    <row r="259" customFormat="false" ht="15" hidden="false" customHeight="false" outlineLevel="0" collapsed="false">
      <c r="E259" s="0" t="str">
        <f aca="false">IF(C259&lt;&gt;"",C259*D259,"")</f>
        <v/>
      </c>
    </row>
    <row r="260" customFormat="false" ht="15" hidden="false" customHeight="false" outlineLevel="0" collapsed="false">
      <c r="E260" s="0" t="str">
        <f aca="false">IF(C260&lt;&gt;"",C260*D260,"")</f>
        <v/>
      </c>
    </row>
    <row r="261" customFormat="false" ht="15" hidden="false" customHeight="false" outlineLevel="0" collapsed="false">
      <c r="E261" s="0" t="str">
        <f aca="false">IF(C261&lt;&gt;"",C261*D261,"")</f>
        <v/>
      </c>
    </row>
    <row r="262" customFormat="false" ht="15" hidden="false" customHeight="false" outlineLevel="0" collapsed="false">
      <c r="E262" s="0" t="str">
        <f aca="false">IF(C262&lt;&gt;"",C262*D262,"")</f>
        <v/>
      </c>
    </row>
    <row r="263" customFormat="false" ht="15" hidden="false" customHeight="false" outlineLevel="0" collapsed="false">
      <c r="E263" s="0" t="str">
        <f aca="false">IF(C263&lt;&gt;"",C263*D263,"")</f>
        <v/>
      </c>
    </row>
    <row r="264" customFormat="false" ht="15" hidden="false" customHeight="false" outlineLevel="0" collapsed="false">
      <c r="E264" s="0" t="str">
        <f aca="false">IF(C264&lt;&gt;"",C264*D264,"")</f>
        <v/>
      </c>
    </row>
    <row r="265" customFormat="false" ht="15" hidden="false" customHeight="false" outlineLevel="0" collapsed="false">
      <c r="E265" s="0" t="str">
        <f aca="false">IF(C265&lt;&gt;"",C265*D265,"")</f>
        <v/>
      </c>
    </row>
    <row r="266" customFormat="false" ht="15" hidden="false" customHeight="false" outlineLevel="0" collapsed="false">
      <c r="E266" s="0" t="str">
        <f aca="false">IF(C266&lt;&gt;"",C266*D266,"")</f>
        <v/>
      </c>
    </row>
    <row r="267" customFormat="false" ht="15" hidden="false" customHeight="false" outlineLevel="0" collapsed="false">
      <c r="E267" s="0" t="str">
        <f aca="false">IF(C267&lt;&gt;"",C267*D267,"")</f>
        <v/>
      </c>
    </row>
    <row r="268" customFormat="false" ht="15" hidden="false" customHeight="false" outlineLevel="0" collapsed="false">
      <c r="E268" s="0" t="str">
        <f aca="false">IF(C268&lt;&gt;"",C268*D268,"")</f>
        <v/>
      </c>
    </row>
    <row r="269" customFormat="false" ht="15" hidden="false" customHeight="false" outlineLevel="0" collapsed="false">
      <c r="E269" s="0" t="str">
        <f aca="false">IF(C269&lt;&gt;"",C269*D269,"")</f>
        <v/>
      </c>
    </row>
    <row r="270" customFormat="false" ht="15" hidden="false" customHeight="false" outlineLevel="0" collapsed="false">
      <c r="E270" s="0" t="str">
        <f aca="false">IF(C270&lt;&gt;"",C270*D270,"")</f>
        <v/>
      </c>
    </row>
    <row r="271" customFormat="false" ht="15" hidden="false" customHeight="false" outlineLevel="0" collapsed="false">
      <c r="E271" s="0" t="str">
        <f aca="false">IF(C271&lt;&gt;"",C271*D271,"")</f>
        <v/>
      </c>
    </row>
    <row r="272" customFormat="false" ht="15" hidden="false" customHeight="false" outlineLevel="0" collapsed="false">
      <c r="E272" s="0" t="str">
        <f aca="false">IF(C272&lt;&gt;"",C272*D272,"")</f>
        <v/>
      </c>
    </row>
    <row r="273" customFormat="false" ht="15" hidden="false" customHeight="false" outlineLevel="0" collapsed="false">
      <c r="E273" s="0" t="str">
        <f aca="false">IF(C273&lt;&gt;"",C273*D273,"")</f>
        <v/>
      </c>
    </row>
    <row r="274" customFormat="false" ht="15" hidden="false" customHeight="false" outlineLevel="0" collapsed="false">
      <c r="E274" s="0" t="str">
        <f aca="false">IF(C274&lt;&gt;"",C274*D274,"")</f>
        <v/>
      </c>
    </row>
    <row r="275" customFormat="false" ht="15" hidden="false" customHeight="false" outlineLevel="0" collapsed="false">
      <c r="E275" s="0" t="str">
        <f aca="false">IF(C275&lt;&gt;"",C275*D275,"")</f>
        <v/>
      </c>
    </row>
    <row r="276" customFormat="false" ht="15" hidden="false" customHeight="false" outlineLevel="0" collapsed="false">
      <c r="E276" s="0" t="str">
        <f aca="false">IF(C276&lt;&gt;"",C276*D276,"")</f>
        <v/>
      </c>
    </row>
    <row r="277" customFormat="false" ht="15" hidden="false" customHeight="false" outlineLevel="0" collapsed="false">
      <c r="E277" s="0" t="str">
        <f aca="false">IF(C277&lt;&gt;"",C277*D277,"")</f>
        <v/>
      </c>
    </row>
    <row r="278" customFormat="false" ht="15" hidden="false" customHeight="false" outlineLevel="0" collapsed="false">
      <c r="E278" s="0" t="str">
        <f aca="false">IF(C278&lt;&gt;"",C278*D278,"")</f>
        <v/>
      </c>
    </row>
    <row r="279" customFormat="false" ht="15" hidden="false" customHeight="false" outlineLevel="0" collapsed="false">
      <c r="E279" s="0" t="str">
        <f aca="false">IF(C279&lt;&gt;"",C279*D279,"")</f>
        <v/>
      </c>
    </row>
    <row r="280" customFormat="false" ht="15" hidden="false" customHeight="false" outlineLevel="0" collapsed="false">
      <c r="E280" s="0" t="str">
        <f aca="false">IF(C280&lt;&gt;"",C280*D280,"")</f>
        <v/>
      </c>
    </row>
    <row r="281" customFormat="false" ht="15" hidden="false" customHeight="false" outlineLevel="0" collapsed="false">
      <c r="E281" s="0" t="str">
        <f aca="false">IF(C281&lt;&gt;"",C281*D281,"")</f>
        <v/>
      </c>
    </row>
    <row r="282" customFormat="false" ht="15" hidden="false" customHeight="false" outlineLevel="0" collapsed="false">
      <c r="E282" s="0" t="str">
        <f aca="false">IF(C282&lt;&gt;"",C282*D282,"")</f>
        <v/>
      </c>
    </row>
    <row r="283" customFormat="false" ht="15" hidden="false" customHeight="false" outlineLevel="0" collapsed="false">
      <c r="E283" s="0" t="str">
        <f aca="false">IF(C283&lt;&gt;"",C283*D283,"")</f>
        <v/>
      </c>
    </row>
    <row r="284" customFormat="false" ht="15" hidden="false" customHeight="false" outlineLevel="0" collapsed="false">
      <c r="E284" s="0" t="str">
        <f aca="false">IF(C284&lt;&gt;"",C284*D284,"")</f>
        <v/>
      </c>
    </row>
    <row r="285" customFormat="false" ht="15" hidden="false" customHeight="false" outlineLevel="0" collapsed="false">
      <c r="E285" s="0" t="str">
        <f aca="false">IF(C285&lt;&gt;"",C285*D285,"")</f>
        <v/>
      </c>
    </row>
    <row r="286" customFormat="false" ht="15" hidden="false" customHeight="false" outlineLevel="0" collapsed="false">
      <c r="E286" s="0" t="str">
        <f aca="false">IF(C286&lt;&gt;"",C286*D286,"")</f>
        <v/>
      </c>
    </row>
    <row r="287" customFormat="false" ht="15" hidden="false" customHeight="false" outlineLevel="0" collapsed="false">
      <c r="E287" s="0" t="str">
        <f aca="false">IF(C287&lt;&gt;"",C287*D287,"")</f>
        <v/>
      </c>
    </row>
    <row r="288" customFormat="false" ht="15" hidden="false" customHeight="false" outlineLevel="0" collapsed="false">
      <c r="E288" s="0" t="str">
        <f aca="false">IF(C288&lt;&gt;"",C288*D288,"")</f>
        <v/>
      </c>
    </row>
    <row r="289" customFormat="false" ht="15" hidden="false" customHeight="false" outlineLevel="0" collapsed="false">
      <c r="E289" s="0" t="str">
        <f aca="false">IF(C289&lt;&gt;"",C289*D289,"")</f>
        <v/>
      </c>
    </row>
    <row r="290" customFormat="false" ht="15" hidden="false" customHeight="false" outlineLevel="0" collapsed="false">
      <c r="E290" s="0" t="str">
        <f aca="false">IF(C290&lt;&gt;"",C290*D290,"")</f>
        <v/>
      </c>
    </row>
    <row r="291" customFormat="false" ht="15" hidden="false" customHeight="false" outlineLevel="0" collapsed="false">
      <c r="E291" s="0" t="str">
        <f aca="false">IF(C291&lt;&gt;"",C291*D291,"")</f>
        <v/>
      </c>
    </row>
    <row r="292" customFormat="false" ht="15" hidden="false" customHeight="false" outlineLevel="0" collapsed="false">
      <c r="E292" s="0" t="str">
        <f aca="false">IF(C292&lt;&gt;"",C292*D292,"")</f>
        <v/>
      </c>
    </row>
    <row r="293" customFormat="false" ht="15" hidden="false" customHeight="false" outlineLevel="0" collapsed="false">
      <c r="E293" s="0" t="str">
        <f aca="false">IF(C293&lt;&gt;"",C293*D293,"")</f>
        <v/>
      </c>
    </row>
    <row r="294" customFormat="false" ht="15" hidden="false" customHeight="false" outlineLevel="0" collapsed="false">
      <c r="E294" s="0" t="str">
        <f aca="false">IF(C294&lt;&gt;"",C294*D294,"")</f>
        <v/>
      </c>
    </row>
    <row r="295" customFormat="false" ht="15" hidden="false" customHeight="false" outlineLevel="0" collapsed="false">
      <c r="E295" s="0" t="str">
        <f aca="false">IF(C295&lt;&gt;"",C295*D295,"")</f>
        <v/>
      </c>
    </row>
    <row r="296" customFormat="false" ht="15" hidden="false" customHeight="false" outlineLevel="0" collapsed="false">
      <c r="E296" s="0" t="str">
        <f aca="false">IF(C296&lt;&gt;"",C296*D296,"")</f>
        <v/>
      </c>
    </row>
    <row r="297" customFormat="false" ht="15" hidden="false" customHeight="false" outlineLevel="0" collapsed="false">
      <c r="E297" s="0" t="str">
        <f aca="false">IF(C297&lt;&gt;"",C297*D297,"")</f>
        <v/>
      </c>
    </row>
    <row r="298" customFormat="false" ht="15" hidden="false" customHeight="false" outlineLevel="0" collapsed="false">
      <c r="E298" s="0" t="str">
        <f aca="false">IF(C298&lt;&gt;"",C298*D298,"")</f>
        <v/>
      </c>
    </row>
    <row r="299" customFormat="false" ht="15" hidden="false" customHeight="false" outlineLevel="0" collapsed="false">
      <c r="E299" s="0" t="str">
        <f aca="false">IF(C299&lt;&gt;"",C299*D299,"")</f>
        <v/>
      </c>
    </row>
    <row r="300" customFormat="false" ht="15" hidden="false" customHeight="false" outlineLevel="0" collapsed="false">
      <c r="E300" s="0" t="str">
        <f aca="false">IF(C300&lt;&gt;"",C300*D300,"")</f>
        <v/>
      </c>
    </row>
    <row r="301" customFormat="false" ht="15" hidden="false" customHeight="false" outlineLevel="0" collapsed="false">
      <c r="E301" s="0" t="str">
        <f aca="false">IF(C301&lt;&gt;"",C301*D301,"")</f>
        <v/>
      </c>
    </row>
    <row r="302" customFormat="false" ht="15" hidden="false" customHeight="false" outlineLevel="0" collapsed="false">
      <c r="E302" s="0" t="str">
        <f aca="false">IF(C302&lt;&gt;"",C302*D302,"")</f>
        <v/>
      </c>
    </row>
    <row r="303" customFormat="false" ht="15" hidden="false" customHeight="false" outlineLevel="0" collapsed="false">
      <c r="E303" s="0" t="str">
        <f aca="false">IF(C303&lt;&gt;"",C303*D303,"")</f>
        <v/>
      </c>
    </row>
    <row r="304" customFormat="false" ht="15" hidden="false" customHeight="false" outlineLevel="0" collapsed="false">
      <c r="E304" s="0" t="str">
        <f aca="false">IF(C304&lt;&gt;"",C304*D304,"")</f>
        <v/>
      </c>
    </row>
    <row r="305" customFormat="false" ht="15" hidden="false" customHeight="false" outlineLevel="0" collapsed="false">
      <c r="E305" s="0" t="str">
        <f aca="false">IF(C305&lt;&gt;"",C305*D305,"")</f>
        <v/>
      </c>
    </row>
    <row r="306" customFormat="false" ht="15" hidden="false" customHeight="false" outlineLevel="0" collapsed="false">
      <c r="E306" s="0" t="str">
        <f aca="false">IF(C306&lt;&gt;"",C306*D306,"")</f>
        <v/>
      </c>
    </row>
    <row r="307" customFormat="false" ht="15" hidden="false" customHeight="false" outlineLevel="0" collapsed="false">
      <c r="E307" s="0" t="str">
        <f aca="false">IF(C307&lt;&gt;"",C307*D307,"")</f>
        <v/>
      </c>
    </row>
    <row r="308" customFormat="false" ht="15" hidden="false" customHeight="false" outlineLevel="0" collapsed="false">
      <c r="E308" s="0" t="str">
        <f aca="false">IF(C308&lt;&gt;"",C308*D308,"")</f>
        <v/>
      </c>
    </row>
    <row r="309" customFormat="false" ht="15" hidden="false" customHeight="false" outlineLevel="0" collapsed="false">
      <c r="E309" s="0" t="str">
        <f aca="false">IF(C309&lt;&gt;"",C309*D309,"")</f>
        <v/>
      </c>
    </row>
    <row r="310" customFormat="false" ht="15" hidden="false" customHeight="false" outlineLevel="0" collapsed="false">
      <c r="E310" s="0" t="str">
        <f aca="false">IF(C310&lt;&gt;"",C310*D310,"")</f>
        <v/>
      </c>
    </row>
    <row r="311" customFormat="false" ht="15" hidden="false" customHeight="false" outlineLevel="0" collapsed="false">
      <c r="E311" s="0" t="str">
        <f aca="false">IF(C311&lt;&gt;"",C311*D311,"")</f>
        <v/>
      </c>
    </row>
    <row r="312" customFormat="false" ht="15" hidden="false" customHeight="false" outlineLevel="0" collapsed="false">
      <c r="E312" s="0" t="str">
        <f aca="false">IF(C312&lt;&gt;"",C312*D312,"")</f>
        <v/>
      </c>
    </row>
    <row r="313" customFormat="false" ht="15" hidden="false" customHeight="false" outlineLevel="0" collapsed="false">
      <c r="E313" s="0" t="str">
        <f aca="false">IF(C313&lt;&gt;"",C313*D313,"")</f>
        <v/>
      </c>
    </row>
    <row r="314" customFormat="false" ht="15" hidden="false" customHeight="false" outlineLevel="0" collapsed="false">
      <c r="E314" s="0" t="str">
        <f aca="false">IF(C314&lt;&gt;"",C314*D314,"")</f>
        <v/>
      </c>
    </row>
    <row r="315" customFormat="false" ht="15" hidden="false" customHeight="false" outlineLevel="0" collapsed="false">
      <c r="E315" s="0" t="str">
        <f aca="false">IF(C315&lt;&gt;"",C315*D315,"")</f>
        <v/>
      </c>
    </row>
    <row r="316" customFormat="false" ht="15" hidden="false" customHeight="false" outlineLevel="0" collapsed="false">
      <c r="E316" s="0" t="str">
        <f aca="false">IF(C316&lt;&gt;"",C316*D316,"")</f>
        <v/>
      </c>
    </row>
    <row r="317" customFormat="false" ht="15" hidden="false" customHeight="false" outlineLevel="0" collapsed="false">
      <c r="E317" s="0" t="str">
        <f aca="false">IF(C317&lt;&gt;"",C317*D317,"")</f>
        <v/>
      </c>
    </row>
    <row r="318" customFormat="false" ht="15" hidden="false" customHeight="false" outlineLevel="0" collapsed="false">
      <c r="E318" s="0" t="str">
        <f aca="false">IF(C318&lt;&gt;"",C318*D318,"")</f>
        <v/>
      </c>
    </row>
    <row r="319" customFormat="false" ht="15" hidden="false" customHeight="false" outlineLevel="0" collapsed="false">
      <c r="E319" s="0" t="str">
        <f aca="false">IF(C319&lt;&gt;"",C319*D319,"")</f>
        <v/>
      </c>
    </row>
    <row r="320" customFormat="false" ht="15" hidden="false" customHeight="false" outlineLevel="0" collapsed="false">
      <c r="E320" s="0" t="str">
        <f aca="false">IF(C320&lt;&gt;"",C320*D320,"")</f>
        <v/>
      </c>
    </row>
    <row r="321" customFormat="false" ht="15" hidden="false" customHeight="false" outlineLevel="0" collapsed="false">
      <c r="E321" s="0" t="str">
        <f aca="false">IF(C321&lt;&gt;"",C321*D321,"")</f>
        <v/>
      </c>
    </row>
    <row r="322" customFormat="false" ht="15" hidden="false" customHeight="false" outlineLevel="0" collapsed="false">
      <c r="E322" s="0" t="str">
        <f aca="false">IF(C322&lt;&gt;"",C322*D322,"")</f>
        <v/>
      </c>
    </row>
    <row r="323" customFormat="false" ht="15" hidden="false" customHeight="false" outlineLevel="0" collapsed="false">
      <c r="E323" s="0" t="str">
        <f aca="false">IF(C323&lt;&gt;"",C323*D323,"")</f>
        <v/>
      </c>
    </row>
    <row r="324" customFormat="false" ht="15" hidden="false" customHeight="false" outlineLevel="0" collapsed="false">
      <c r="E324" s="0" t="str">
        <f aca="false">IF(C324&lt;&gt;"",C324*D324,"")</f>
        <v/>
      </c>
    </row>
    <row r="325" customFormat="false" ht="15" hidden="false" customHeight="false" outlineLevel="0" collapsed="false">
      <c r="E325" s="0" t="str">
        <f aca="false">IF(C325&lt;&gt;"",C325*D325,"")</f>
        <v/>
      </c>
    </row>
    <row r="326" customFormat="false" ht="15" hidden="false" customHeight="false" outlineLevel="0" collapsed="false">
      <c r="E326" s="0" t="str">
        <f aca="false">IF(C326&lt;&gt;"",C326*D326,"")</f>
        <v/>
      </c>
    </row>
    <row r="327" customFormat="false" ht="15" hidden="false" customHeight="false" outlineLevel="0" collapsed="false">
      <c r="E327" s="0" t="str">
        <f aca="false">IF(C327&lt;&gt;"",C327*D327,"")</f>
        <v/>
      </c>
    </row>
    <row r="328" customFormat="false" ht="15" hidden="false" customHeight="false" outlineLevel="0" collapsed="false">
      <c r="E328" s="0" t="str">
        <f aca="false">IF(C328&lt;&gt;"",C328*D328,"")</f>
        <v/>
      </c>
    </row>
    <row r="329" customFormat="false" ht="15" hidden="false" customHeight="false" outlineLevel="0" collapsed="false">
      <c r="E329" s="0" t="str">
        <f aca="false">IF(C329&lt;&gt;"",C329*D329,"")</f>
        <v/>
      </c>
    </row>
    <row r="330" customFormat="false" ht="15" hidden="false" customHeight="false" outlineLevel="0" collapsed="false">
      <c r="E330" s="0" t="str">
        <f aca="false">IF(C330&lt;&gt;"",C330*D330,"")</f>
        <v/>
      </c>
    </row>
    <row r="331" customFormat="false" ht="15" hidden="false" customHeight="false" outlineLevel="0" collapsed="false">
      <c r="E331" s="0" t="str">
        <f aca="false">IF(C331&lt;&gt;"",C331*D331,"")</f>
        <v/>
      </c>
    </row>
    <row r="332" customFormat="false" ht="15" hidden="false" customHeight="false" outlineLevel="0" collapsed="false">
      <c r="E332" s="0" t="str">
        <f aca="false">IF(C332&lt;&gt;"",C332*D332,"")</f>
        <v/>
      </c>
    </row>
    <row r="333" customFormat="false" ht="15" hidden="false" customHeight="false" outlineLevel="0" collapsed="false">
      <c r="E333" s="0" t="str">
        <f aca="false">IF(C333&lt;&gt;"",C333*D333,"")</f>
        <v/>
      </c>
    </row>
    <row r="334" customFormat="false" ht="15" hidden="false" customHeight="false" outlineLevel="0" collapsed="false">
      <c r="E334" s="0" t="str">
        <f aca="false">IF(C334&lt;&gt;"",C334*D334,"")</f>
        <v/>
      </c>
    </row>
    <row r="335" customFormat="false" ht="15" hidden="false" customHeight="false" outlineLevel="0" collapsed="false">
      <c r="E335" s="0" t="str">
        <f aca="false">IF(C335&lt;&gt;"",C335*D335,"")</f>
        <v/>
      </c>
    </row>
    <row r="336" customFormat="false" ht="15" hidden="false" customHeight="false" outlineLevel="0" collapsed="false">
      <c r="E336" s="0" t="str">
        <f aca="false">IF(C336&lt;&gt;"",C336*D336,"")</f>
        <v/>
      </c>
    </row>
    <row r="337" customFormat="false" ht="15" hidden="false" customHeight="false" outlineLevel="0" collapsed="false">
      <c r="E337" s="0" t="str">
        <f aca="false">IF(C337&lt;&gt;"",C337*D337,"")</f>
        <v/>
      </c>
    </row>
    <row r="338" customFormat="false" ht="15" hidden="false" customHeight="false" outlineLevel="0" collapsed="false">
      <c r="E338" s="0" t="str">
        <f aca="false">IF(C338&lt;&gt;"",C338*D338,"")</f>
        <v/>
      </c>
    </row>
    <row r="339" customFormat="false" ht="15" hidden="false" customHeight="false" outlineLevel="0" collapsed="false">
      <c r="E339" s="0" t="str">
        <f aca="false">IF(C339&lt;&gt;"",C339*D339,"")</f>
        <v/>
      </c>
    </row>
    <row r="340" customFormat="false" ht="15" hidden="false" customHeight="false" outlineLevel="0" collapsed="false">
      <c r="E340" s="0" t="str">
        <f aca="false">IF(C340&lt;&gt;"",C340*D340,"")</f>
        <v/>
      </c>
    </row>
    <row r="341" customFormat="false" ht="15" hidden="false" customHeight="false" outlineLevel="0" collapsed="false">
      <c r="E341" s="0" t="str">
        <f aca="false">IF(C341&lt;&gt;"",C341*D341,"")</f>
        <v/>
      </c>
    </row>
    <row r="342" customFormat="false" ht="15" hidden="false" customHeight="false" outlineLevel="0" collapsed="false">
      <c r="E342" s="0" t="str">
        <f aca="false">IF(C342&lt;&gt;"",C342*D342,"")</f>
        <v/>
      </c>
    </row>
    <row r="343" customFormat="false" ht="15" hidden="false" customHeight="false" outlineLevel="0" collapsed="false">
      <c r="E343" s="0" t="str">
        <f aca="false">IF(C343&lt;&gt;"",C343*D343,"")</f>
        <v/>
      </c>
    </row>
    <row r="344" customFormat="false" ht="15" hidden="false" customHeight="false" outlineLevel="0" collapsed="false">
      <c r="E344" s="0" t="str">
        <f aca="false">IF(C344&lt;&gt;"",C344*D344,"")</f>
        <v/>
      </c>
    </row>
    <row r="345" customFormat="false" ht="15" hidden="false" customHeight="false" outlineLevel="0" collapsed="false">
      <c r="E345" s="0" t="str">
        <f aca="false">IF(C345&lt;&gt;"",C345*D345,"")</f>
        <v/>
      </c>
    </row>
    <row r="346" customFormat="false" ht="15" hidden="false" customHeight="false" outlineLevel="0" collapsed="false">
      <c r="E346" s="0" t="str">
        <f aca="false">IF(C346&lt;&gt;"",C346*D346,"")</f>
        <v/>
      </c>
    </row>
    <row r="347" customFormat="false" ht="15" hidden="false" customHeight="false" outlineLevel="0" collapsed="false">
      <c r="E347" s="0" t="str">
        <f aca="false">IF(C347&lt;&gt;"",C347*D347,"")</f>
        <v/>
      </c>
    </row>
    <row r="348" customFormat="false" ht="15" hidden="false" customHeight="false" outlineLevel="0" collapsed="false">
      <c r="E348" s="0" t="str">
        <f aca="false">IF(C348&lt;&gt;"",C348*D348,"")</f>
        <v/>
      </c>
    </row>
    <row r="349" customFormat="false" ht="15" hidden="false" customHeight="false" outlineLevel="0" collapsed="false">
      <c r="E349" s="0" t="str">
        <f aca="false">IF(C349&lt;&gt;"",C349*D349,"")</f>
        <v/>
      </c>
    </row>
    <row r="350" customFormat="false" ht="15" hidden="false" customHeight="false" outlineLevel="0" collapsed="false">
      <c r="E350" s="0" t="str">
        <f aca="false">IF(C350&lt;&gt;"",C350*D350,"")</f>
        <v/>
      </c>
    </row>
    <row r="351" customFormat="false" ht="15" hidden="false" customHeight="false" outlineLevel="0" collapsed="false">
      <c r="E351" s="0" t="str">
        <f aca="false">IF(C351&lt;&gt;"",C351*D351,"")</f>
        <v/>
      </c>
    </row>
    <row r="352" customFormat="false" ht="15" hidden="false" customHeight="false" outlineLevel="0" collapsed="false">
      <c r="E352" s="0" t="str">
        <f aca="false">IF(C352&lt;&gt;"",C352*D352,"")</f>
        <v/>
      </c>
    </row>
    <row r="353" customFormat="false" ht="15" hidden="false" customHeight="false" outlineLevel="0" collapsed="false">
      <c r="E353" s="0" t="str">
        <f aca="false">IF(C353&lt;&gt;"",C353*D353,"")</f>
        <v/>
      </c>
    </row>
    <row r="354" customFormat="false" ht="15" hidden="false" customHeight="false" outlineLevel="0" collapsed="false">
      <c r="E354" s="0" t="str">
        <f aca="false">IF(C354&lt;&gt;"",C354*D354,"")</f>
        <v/>
      </c>
    </row>
    <row r="355" customFormat="false" ht="15" hidden="false" customHeight="false" outlineLevel="0" collapsed="false">
      <c r="E355" s="0" t="str">
        <f aca="false">IF(C355&lt;&gt;"",C355*D355,"")</f>
        <v/>
      </c>
    </row>
    <row r="356" customFormat="false" ht="15" hidden="false" customHeight="false" outlineLevel="0" collapsed="false">
      <c r="E356" s="0" t="str">
        <f aca="false">IF(C356&lt;&gt;"",C356*D356,"")</f>
        <v/>
      </c>
    </row>
    <row r="357" customFormat="false" ht="15" hidden="false" customHeight="false" outlineLevel="0" collapsed="false">
      <c r="E357" s="0" t="str">
        <f aca="false">IF(C357&lt;&gt;"",C357*D357,"")</f>
        <v/>
      </c>
    </row>
    <row r="358" customFormat="false" ht="15" hidden="false" customHeight="false" outlineLevel="0" collapsed="false">
      <c r="E358" s="0" t="str">
        <f aca="false">IF(C358&lt;&gt;"",C358*D358,"")</f>
        <v/>
      </c>
    </row>
    <row r="359" customFormat="false" ht="15" hidden="false" customHeight="false" outlineLevel="0" collapsed="false">
      <c r="E359" s="0" t="str">
        <f aca="false">IF(C359&lt;&gt;"",C359*D359,"")</f>
        <v/>
      </c>
    </row>
    <row r="360" customFormat="false" ht="15" hidden="false" customHeight="false" outlineLevel="0" collapsed="false">
      <c r="E360" s="0" t="str">
        <f aca="false">IF(C360&lt;&gt;"",C360*D360,"")</f>
        <v/>
      </c>
    </row>
    <row r="361" customFormat="false" ht="15" hidden="false" customHeight="false" outlineLevel="0" collapsed="false">
      <c r="E361" s="0" t="str">
        <f aca="false">IF(C361&lt;&gt;"",C361*D361,"")</f>
        <v/>
      </c>
    </row>
    <row r="362" customFormat="false" ht="15" hidden="false" customHeight="false" outlineLevel="0" collapsed="false">
      <c r="E362" s="0" t="str">
        <f aca="false">IF(C362&lt;&gt;"",C362*D362,"")</f>
        <v/>
      </c>
    </row>
    <row r="363" customFormat="false" ht="15" hidden="false" customHeight="false" outlineLevel="0" collapsed="false">
      <c r="E363" s="0" t="str">
        <f aca="false">IF(C363&lt;&gt;"",C363*D363,"")</f>
        <v/>
      </c>
    </row>
    <row r="364" customFormat="false" ht="15" hidden="false" customHeight="false" outlineLevel="0" collapsed="false">
      <c r="E364" s="0" t="str">
        <f aca="false">IF(C364&lt;&gt;"",C364*D364,"")</f>
        <v/>
      </c>
    </row>
    <row r="365" customFormat="false" ht="15" hidden="false" customHeight="false" outlineLevel="0" collapsed="false">
      <c r="E365" s="0" t="str">
        <f aca="false">IF(C365&lt;&gt;"",C365*D365,"")</f>
        <v/>
      </c>
    </row>
    <row r="366" customFormat="false" ht="15" hidden="false" customHeight="false" outlineLevel="0" collapsed="false">
      <c r="E366" s="0" t="str">
        <f aca="false">IF(C366&lt;&gt;"",C366*D366,"")</f>
        <v/>
      </c>
    </row>
    <row r="367" customFormat="false" ht="15" hidden="false" customHeight="false" outlineLevel="0" collapsed="false">
      <c r="E367" s="0" t="str">
        <f aca="false">IF(C367&lt;&gt;"",C367*D367,"")</f>
        <v/>
      </c>
    </row>
    <row r="368" customFormat="false" ht="15" hidden="false" customHeight="false" outlineLevel="0" collapsed="false">
      <c r="E368" s="0" t="str">
        <f aca="false">IF(C368&lt;&gt;"",C368*D368,"")</f>
        <v/>
      </c>
    </row>
    <row r="369" customFormat="false" ht="15" hidden="false" customHeight="false" outlineLevel="0" collapsed="false">
      <c r="E369" s="0" t="str">
        <f aca="false">IF(C369&lt;&gt;"",C369*D369,"")</f>
        <v/>
      </c>
    </row>
    <row r="370" customFormat="false" ht="15" hidden="false" customHeight="false" outlineLevel="0" collapsed="false">
      <c r="E370" s="0" t="str">
        <f aca="false">IF(C370&lt;&gt;"",C370*D370,"")</f>
        <v/>
      </c>
    </row>
    <row r="371" customFormat="false" ht="15" hidden="false" customHeight="false" outlineLevel="0" collapsed="false">
      <c r="E371" s="0" t="str">
        <f aca="false">IF(C371&lt;&gt;"",C371*D371,"")</f>
        <v/>
      </c>
    </row>
    <row r="372" customFormat="false" ht="15" hidden="false" customHeight="false" outlineLevel="0" collapsed="false">
      <c r="E372" s="0" t="str">
        <f aca="false">IF(C372&lt;&gt;"",C372*D372,"")</f>
        <v/>
      </c>
    </row>
    <row r="373" customFormat="false" ht="15" hidden="false" customHeight="false" outlineLevel="0" collapsed="false">
      <c r="E373" s="0" t="str">
        <f aca="false">IF(C373&lt;&gt;"",C373*D373,"")</f>
        <v/>
      </c>
    </row>
    <row r="374" customFormat="false" ht="15" hidden="false" customHeight="false" outlineLevel="0" collapsed="false">
      <c r="E374" s="0" t="str">
        <f aca="false">IF(C374&lt;&gt;"",C374*D374,"")</f>
        <v/>
      </c>
    </row>
    <row r="375" customFormat="false" ht="15" hidden="false" customHeight="false" outlineLevel="0" collapsed="false">
      <c r="E375" s="0" t="str">
        <f aca="false">IF(C375&lt;&gt;"",C375*D375,"")</f>
        <v/>
      </c>
    </row>
    <row r="376" customFormat="false" ht="15" hidden="false" customHeight="false" outlineLevel="0" collapsed="false">
      <c r="E376" s="0" t="str">
        <f aca="false">IF(C376&lt;&gt;"",C376*D376,"")</f>
        <v/>
      </c>
    </row>
    <row r="377" customFormat="false" ht="15" hidden="false" customHeight="false" outlineLevel="0" collapsed="false">
      <c r="E377" s="0" t="str">
        <f aca="false">IF(C377&lt;&gt;"",C377*D377,"")</f>
        <v/>
      </c>
    </row>
    <row r="378" customFormat="false" ht="15" hidden="false" customHeight="false" outlineLevel="0" collapsed="false">
      <c r="E378" s="0" t="str">
        <f aca="false">IF(C378&lt;&gt;"",C378*D378,"")</f>
        <v/>
      </c>
    </row>
    <row r="379" customFormat="false" ht="15" hidden="false" customHeight="false" outlineLevel="0" collapsed="false">
      <c r="E379" s="0" t="str">
        <f aca="false">IF(C379&lt;&gt;"",C379*D379,"")</f>
        <v/>
      </c>
    </row>
    <row r="380" customFormat="false" ht="15" hidden="false" customHeight="false" outlineLevel="0" collapsed="false">
      <c r="E380" s="0" t="str">
        <f aca="false">IF(C380&lt;&gt;"",C380*D380,"")</f>
        <v/>
      </c>
    </row>
    <row r="381" customFormat="false" ht="15" hidden="false" customHeight="false" outlineLevel="0" collapsed="false">
      <c r="E381" s="0" t="str">
        <f aca="false">IF(C381&lt;&gt;"",C381*D381,"")</f>
        <v/>
      </c>
    </row>
    <row r="382" customFormat="false" ht="15" hidden="false" customHeight="false" outlineLevel="0" collapsed="false">
      <c r="E382" s="0" t="str">
        <f aca="false">IF(C382&lt;&gt;"",C382*D382,"")</f>
        <v/>
      </c>
    </row>
    <row r="383" customFormat="false" ht="15" hidden="false" customHeight="false" outlineLevel="0" collapsed="false">
      <c r="E383" s="0" t="str">
        <f aca="false">IF(C383&lt;&gt;"",C383*D383,"")</f>
        <v/>
      </c>
    </row>
    <row r="384" customFormat="false" ht="15" hidden="false" customHeight="false" outlineLevel="0" collapsed="false">
      <c r="E384" s="0" t="str">
        <f aca="false">IF(C384&lt;&gt;"",C384*D384,"")</f>
        <v/>
      </c>
    </row>
    <row r="385" customFormat="false" ht="15" hidden="false" customHeight="false" outlineLevel="0" collapsed="false">
      <c r="E385" s="0" t="str">
        <f aca="false">IF(C385&lt;&gt;"",C385*D385,"")</f>
        <v/>
      </c>
    </row>
    <row r="386" customFormat="false" ht="15" hidden="false" customHeight="false" outlineLevel="0" collapsed="false">
      <c r="E386" s="0" t="str">
        <f aca="false">IF(C386&lt;&gt;"",C386*D386,"")</f>
        <v/>
      </c>
    </row>
    <row r="387" customFormat="false" ht="15" hidden="false" customHeight="false" outlineLevel="0" collapsed="false">
      <c r="E387" s="0" t="str">
        <f aca="false">IF(C387&lt;&gt;"",C387*D387,"")</f>
        <v/>
      </c>
    </row>
    <row r="388" customFormat="false" ht="15" hidden="false" customHeight="false" outlineLevel="0" collapsed="false">
      <c r="E388" s="0" t="str">
        <f aca="false">IF(C388&lt;&gt;"",C388*D388,"")</f>
        <v/>
      </c>
    </row>
    <row r="389" customFormat="false" ht="15" hidden="false" customHeight="false" outlineLevel="0" collapsed="false">
      <c r="E389" s="0" t="str">
        <f aca="false">IF(C389&lt;&gt;"",C389*D389,"")</f>
        <v/>
      </c>
    </row>
    <row r="390" customFormat="false" ht="15" hidden="false" customHeight="false" outlineLevel="0" collapsed="false">
      <c r="E390" s="0" t="str">
        <f aca="false">IF(C390&lt;&gt;"",C390*D390,"")</f>
        <v/>
      </c>
    </row>
    <row r="391" customFormat="false" ht="15" hidden="false" customHeight="false" outlineLevel="0" collapsed="false">
      <c r="E391" s="0" t="str">
        <f aca="false">IF(C391&lt;&gt;"",C391*D391,"")</f>
        <v/>
      </c>
    </row>
    <row r="392" customFormat="false" ht="15" hidden="false" customHeight="false" outlineLevel="0" collapsed="false">
      <c r="E392" s="0" t="str">
        <f aca="false">IF(C392&lt;&gt;"",C392*D392,"")</f>
        <v/>
      </c>
    </row>
    <row r="393" customFormat="false" ht="15" hidden="false" customHeight="false" outlineLevel="0" collapsed="false">
      <c r="E393" s="0" t="str">
        <f aca="false">IF(C393&lt;&gt;"",C393*D393,"")</f>
        <v/>
      </c>
    </row>
    <row r="394" customFormat="false" ht="15" hidden="false" customHeight="false" outlineLevel="0" collapsed="false">
      <c r="E394" s="0" t="str">
        <f aca="false">IF(C394&lt;&gt;"",C394*D394,"")</f>
        <v/>
      </c>
    </row>
    <row r="395" customFormat="false" ht="15" hidden="false" customHeight="false" outlineLevel="0" collapsed="false">
      <c r="E395" s="0" t="str">
        <f aca="false">IF(C395&lt;&gt;"",C395*D395,"")</f>
        <v/>
      </c>
    </row>
    <row r="396" customFormat="false" ht="15" hidden="false" customHeight="false" outlineLevel="0" collapsed="false">
      <c r="E396" s="0" t="str">
        <f aca="false">IF(C396&lt;&gt;"",C396*D396,"")</f>
        <v/>
      </c>
    </row>
    <row r="397" customFormat="false" ht="15" hidden="false" customHeight="false" outlineLevel="0" collapsed="false">
      <c r="E397" s="0" t="str">
        <f aca="false">IF(C397&lt;&gt;"",C397*D397,"")</f>
        <v/>
      </c>
    </row>
    <row r="398" customFormat="false" ht="15" hidden="false" customHeight="false" outlineLevel="0" collapsed="false">
      <c r="E398" s="0" t="str">
        <f aca="false">IF(C398&lt;&gt;"",C398*D398,"")</f>
        <v/>
      </c>
    </row>
    <row r="399" customFormat="false" ht="15" hidden="false" customHeight="false" outlineLevel="0" collapsed="false">
      <c r="E399" s="0" t="str">
        <f aca="false">IF(C399&lt;&gt;"",C399*D399,"")</f>
        <v/>
      </c>
    </row>
    <row r="400" customFormat="false" ht="15" hidden="false" customHeight="false" outlineLevel="0" collapsed="false">
      <c r="E400" s="0" t="str">
        <f aca="false">IF(C400&lt;&gt;"",C400*D400,"")</f>
        <v/>
      </c>
    </row>
    <row r="401" customFormat="false" ht="15" hidden="false" customHeight="false" outlineLevel="0" collapsed="false">
      <c r="E401" s="0" t="str">
        <f aca="false">IF(C401&lt;&gt;"",C401*D401,"")</f>
        <v/>
      </c>
    </row>
    <row r="402" customFormat="false" ht="15" hidden="false" customHeight="false" outlineLevel="0" collapsed="false">
      <c r="E402" s="0" t="str">
        <f aca="false">IF(C402&lt;&gt;"",C402*D402,"")</f>
        <v/>
      </c>
    </row>
    <row r="403" customFormat="false" ht="15" hidden="false" customHeight="false" outlineLevel="0" collapsed="false">
      <c r="E403" s="0" t="str">
        <f aca="false">IF(C403&lt;&gt;"",C403*D403,"")</f>
        <v/>
      </c>
    </row>
    <row r="404" customFormat="false" ht="15" hidden="false" customHeight="false" outlineLevel="0" collapsed="false">
      <c r="E404" s="0" t="str">
        <f aca="false">IF(C404&lt;&gt;"",C404*D404,"")</f>
        <v/>
      </c>
    </row>
    <row r="405" customFormat="false" ht="15" hidden="false" customHeight="false" outlineLevel="0" collapsed="false">
      <c r="E405" s="0" t="str">
        <f aca="false">IF(C405&lt;&gt;"",C405*D405,"")</f>
        <v/>
      </c>
    </row>
    <row r="406" customFormat="false" ht="15" hidden="false" customHeight="false" outlineLevel="0" collapsed="false">
      <c r="E406" s="0" t="str">
        <f aca="false">IF(C406&lt;&gt;"",C406*D406,"")</f>
        <v/>
      </c>
    </row>
    <row r="407" customFormat="false" ht="15" hidden="false" customHeight="false" outlineLevel="0" collapsed="false">
      <c r="E407" s="0" t="str">
        <f aca="false">IF(C407&lt;&gt;"",C407*D407,"")</f>
        <v/>
      </c>
    </row>
    <row r="408" customFormat="false" ht="15" hidden="false" customHeight="false" outlineLevel="0" collapsed="false">
      <c r="E408" s="0" t="str">
        <f aca="false">IF(C408&lt;&gt;"",C408*D408,"")</f>
        <v/>
      </c>
    </row>
    <row r="409" customFormat="false" ht="15" hidden="false" customHeight="false" outlineLevel="0" collapsed="false">
      <c r="E409" s="0" t="str">
        <f aca="false">IF(C409&lt;&gt;"",C409*D409,"")</f>
        <v/>
      </c>
    </row>
    <row r="410" customFormat="false" ht="15" hidden="false" customHeight="false" outlineLevel="0" collapsed="false">
      <c r="E410" s="0" t="str">
        <f aca="false">IF(C410&lt;&gt;"",C410*D410,"")</f>
        <v/>
      </c>
    </row>
    <row r="411" customFormat="false" ht="15" hidden="false" customHeight="false" outlineLevel="0" collapsed="false">
      <c r="E411" s="0" t="str">
        <f aca="false">IF(C411&lt;&gt;"",C411*D411,"")</f>
        <v/>
      </c>
    </row>
    <row r="412" customFormat="false" ht="15" hidden="false" customHeight="false" outlineLevel="0" collapsed="false">
      <c r="E412" s="0" t="str">
        <f aca="false">IF(C412&lt;&gt;"",C412*D412,"")</f>
        <v/>
      </c>
    </row>
    <row r="413" customFormat="false" ht="15" hidden="false" customHeight="false" outlineLevel="0" collapsed="false">
      <c r="E413" s="0" t="str">
        <f aca="false">IF(C413&lt;&gt;"",C413*D413,"")</f>
        <v/>
      </c>
    </row>
    <row r="414" customFormat="false" ht="15" hidden="false" customHeight="false" outlineLevel="0" collapsed="false">
      <c r="E414" s="0" t="str">
        <f aca="false">IF(C414&lt;&gt;"",C414*D414,"")</f>
        <v/>
      </c>
    </row>
    <row r="415" customFormat="false" ht="15" hidden="false" customHeight="false" outlineLevel="0" collapsed="false">
      <c r="E415" s="0" t="str">
        <f aca="false">IF(C415&lt;&gt;"",C415*D415,"")</f>
        <v/>
      </c>
    </row>
    <row r="416" customFormat="false" ht="15" hidden="false" customHeight="false" outlineLevel="0" collapsed="false">
      <c r="E416" s="0" t="str">
        <f aca="false">IF(C416&lt;&gt;"",C416*D416,"")</f>
        <v/>
      </c>
    </row>
    <row r="417" customFormat="false" ht="15" hidden="false" customHeight="false" outlineLevel="0" collapsed="false">
      <c r="E417" s="0" t="str">
        <f aca="false">IF(C417&lt;&gt;"",C417*D417,"")</f>
        <v/>
      </c>
    </row>
    <row r="418" customFormat="false" ht="15" hidden="false" customHeight="false" outlineLevel="0" collapsed="false">
      <c r="E418" s="0" t="str">
        <f aca="false">IF(C418&lt;&gt;"",C418*D418,"")</f>
        <v/>
      </c>
    </row>
    <row r="419" customFormat="false" ht="15" hidden="false" customHeight="false" outlineLevel="0" collapsed="false">
      <c r="E419" s="0" t="str">
        <f aca="false">IF(C419&lt;&gt;"",C419*D419,"")</f>
        <v/>
      </c>
    </row>
    <row r="420" customFormat="false" ht="15" hidden="false" customHeight="false" outlineLevel="0" collapsed="false">
      <c r="E420" s="0" t="str">
        <f aca="false">IF(C420&lt;&gt;"",C420*D420,"")</f>
        <v/>
      </c>
    </row>
    <row r="421" customFormat="false" ht="15" hidden="false" customHeight="false" outlineLevel="0" collapsed="false">
      <c r="E421" s="0" t="str">
        <f aca="false">IF(C421&lt;&gt;"",C421*D421,"")</f>
        <v/>
      </c>
    </row>
    <row r="422" customFormat="false" ht="15" hidden="false" customHeight="false" outlineLevel="0" collapsed="false">
      <c r="E422" s="0" t="str">
        <f aca="false">IF(C422&lt;&gt;"",C422*D422,"")</f>
        <v/>
      </c>
    </row>
    <row r="423" customFormat="false" ht="15" hidden="false" customHeight="false" outlineLevel="0" collapsed="false">
      <c r="E423" s="0" t="str">
        <f aca="false">IF(C423&lt;&gt;"",C423*D423,"")</f>
        <v/>
      </c>
    </row>
    <row r="424" customFormat="false" ht="15" hidden="false" customHeight="false" outlineLevel="0" collapsed="false">
      <c r="E424" s="0" t="str">
        <f aca="false">IF(C424&lt;&gt;"",C424*D424,"")</f>
        <v/>
      </c>
    </row>
    <row r="425" customFormat="false" ht="15" hidden="false" customHeight="false" outlineLevel="0" collapsed="false">
      <c r="E425" s="0" t="str">
        <f aca="false">IF(C425&lt;&gt;"",C425*D425,"")</f>
        <v/>
      </c>
    </row>
    <row r="426" customFormat="false" ht="15" hidden="false" customHeight="false" outlineLevel="0" collapsed="false">
      <c r="E426" s="0" t="str">
        <f aca="false">IF(C426&lt;&gt;"",C426*D426,"")</f>
        <v/>
      </c>
    </row>
    <row r="427" customFormat="false" ht="15" hidden="false" customHeight="false" outlineLevel="0" collapsed="false">
      <c r="E427" s="0" t="str">
        <f aca="false">IF(C427&lt;&gt;"",C427*D427,"")</f>
        <v/>
      </c>
    </row>
    <row r="428" customFormat="false" ht="15" hidden="false" customHeight="false" outlineLevel="0" collapsed="false">
      <c r="E428" s="0" t="str">
        <f aca="false">IF(C428&lt;&gt;"",C428*D428,"")</f>
        <v/>
      </c>
    </row>
    <row r="429" customFormat="false" ht="15" hidden="false" customHeight="false" outlineLevel="0" collapsed="false">
      <c r="E429" s="0" t="str">
        <f aca="false">IF(C429&lt;&gt;"",C429*D429,"")</f>
        <v/>
      </c>
    </row>
    <row r="430" customFormat="false" ht="15" hidden="false" customHeight="false" outlineLevel="0" collapsed="false">
      <c r="E430" s="0" t="str">
        <f aca="false">IF(C430&lt;&gt;"",C430*D430,"")</f>
        <v/>
      </c>
    </row>
    <row r="431" customFormat="false" ht="15" hidden="false" customHeight="false" outlineLevel="0" collapsed="false">
      <c r="E431" s="0" t="str">
        <f aca="false">IF(C431&lt;&gt;"",C431*D431,"")</f>
        <v/>
      </c>
    </row>
    <row r="432" customFormat="false" ht="15" hidden="false" customHeight="false" outlineLevel="0" collapsed="false">
      <c r="E432" s="0" t="str">
        <f aca="false">IF(C432&lt;&gt;"",C432*D432,"")</f>
        <v/>
      </c>
    </row>
    <row r="433" customFormat="false" ht="15" hidden="false" customHeight="false" outlineLevel="0" collapsed="false">
      <c r="E433" s="0" t="str">
        <f aca="false">IF(C433&lt;&gt;"",C433*D433,"")</f>
        <v/>
      </c>
    </row>
    <row r="434" customFormat="false" ht="15" hidden="false" customHeight="false" outlineLevel="0" collapsed="false">
      <c r="E434" s="0" t="str">
        <f aca="false">IF(C434&lt;&gt;"",C434*D434,"")</f>
        <v/>
      </c>
    </row>
    <row r="435" customFormat="false" ht="15" hidden="false" customHeight="false" outlineLevel="0" collapsed="false">
      <c r="E435" s="0" t="str">
        <f aca="false">IF(C435&lt;&gt;"",C435*D435,"")</f>
        <v/>
      </c>
    </row>
    <row r="436" customFormat="false" ht="15" hidden="false" customHeight="false" outlineLevel="0" collapsed="false">
      <c r="E436" s="0" t="str">
        <f aca="false">IF(C436&lt;&gt;"",C436*D436,"")</f>
        <v/>
      </c>
    </row>
    <row r="437" customFormat="false" ht="15" hidden="false" customHeight="false" outlineLevel="0" collapsed="false">
      <c r="E437" s="0" t="str">
        <f aca="false">IF(C437&lt;&gt;"",C437*D437,"")</f>
        <v/>
      </c>
    </row>
    <row r="438" customFormat="false" ht="15" hidden="false" customHeight="false" outlineLevel="0" collapsed="false">
      <c r="E438" s="0" t="str">
        <f aca="false">IF(C438&lt;&gt;"",C438*D438,"")</f>
        <v/>
      </c>
    </row>
    <row r="439" customFormat="false" ht="15" hidden="false" customHeight="false" outlineLevel="0" collapsed="false">
      <c r="E439" s="0" t="str">
        <f aca="false">IF(C439&lt;&gt;"",C439*D439,"")</f>
        <v/>
      </c>
    </row>
    <row r="440" customFormat="false" ht="15" hidden="false" customHeight="false" outlineLevel="0" collapsed="false">
      <c r="E440" s="0" t="str">
        <f aca="false">IF(C440&lt;&gt;"",C440*D440,"")</f>
        <v/>
      </c>
    </row>
    <row r="441" customFormat="false" ht="15" hidden="false" customHeight="false" outlineLevel="0" collapsed="false">
      <c r="E441" s="0" t="str">
        <f aca="false">IF(C441&lt;&gt;"",C441*D441,"")</f>
        <v/>
      </c>
    </row>
    <row r="442" customFormat="false" ht="15" hidden="false" customHeight="false" outlineLevel="0" collapsed="false">
      <c r="E442" s="0" t="str">
        <f aca="false">IF(C442&lt;&gt;"",C442*D442,"")</f>
        <v/>
      </c>
    </row>
    <row r="443" customFormat="false" ht="15" hidden="false" customHeight="false" outlineLevel="0" collapsed="false">
      <c r="E443" s="0" t="str">
        <f aca="false">IF(C443&lt;&gt;"",C443*D443,"")</f>
        <v/>
      </c>
    </row>
    <row r="444" customFormat="false" ht="15" hidden="false" customHeight="false" outlineLevel="0" collapsed="false">
      <c r="E444" s="0" t="str">
        <f aca="false">IF(C444&lt;&gt;"",C444*D444,"")</f>
        <v/>
      </c>
    </row>
    <row r="445" customFormat="false" ht="15" hidden="false" customHeight="false" outlineLevel="0" collapsed="false">
      <c r="E445" s="0" t="str">
        <f aca="false">IF(C445&lt;&gt;"",C445*D445,"")</f>
        <v/>
      </c>
    </row>
    <row r="446" customFormat="false" ht="15" hidden="false" customHeight="false" outlineLevel="0" collapsed="false">
      <c r="E446" s="0" t="str">
        <f aca="false">IF(C446&lt;&gt;"",C446*D446,"")</f>
        <v/>
      </c>
    </row>
    <row r="447" customFormat="false" ht="15" hidden="false" customHeight="false" outlineLevel="0" collapsed="false">
      <c r="E447" s="0" t="str">
        <f aca="false">IF(C447&lt;&gt;"",C447*D447,"")</f>
        <v/>
      </c>
    </row>
    <row r="448" customFormat="false" ht="15" hidden="false" customHeight="false" outlineLevel="0" collapsed="false">
      <c r="E448" s="0" t="str">
        <f aca="false">IF(C448&lt;&gt;"",C448*D448,"")</f>
        <v/>
      </c>
    </row>
    <row r="449" customFormat="false" ht="15" hidden="false" customHeight="false" outlineLevel="0" collapsed="false">
      <c r="E449" s="0" t="str">
        <f aca="false">IF(C449&lt;&gt;"",C449*D449,"")</f>
        <v/>
      </c>
    </row>
    <row r="450" customFormat="false" ht="15" hidden="false" customHeight="false" outlineLevel="0" collapsed="false">
      <c r="E450" s="0" t="str">
        <f aca="false">IF(C450&lt;&gt;"",C450*D450,"")</f>
        <v/>
      </c>
    </row>
    <row r="451" customFormat="false" ht="15" hidden="false" customHeight="false" outlineLevel="0" collapsed="false">
      <c r="E451" s="0" t="str">
        <f aca="false">IF(C451&lt;&gt;"",C451*D451,"")</f>
        <v/>
      </c>
    </row>
    <row r="452" customFormat="false" ht="15" hidden="false" customHeight="false" outlineLevel="0" collapsed="false">
      <c r="E452" s="0" t="str">
        <f aca="false">IF(C452&lt;&gt;"",C452*D452,"")</f>
        <v/>
      </c>
    </row>
    <row r="453" customFormat="false" ht="15" hidden="false" customHeight="false" outlineLevel="0" collapsed="false">
      <c r="E453" s="0" t="str">
        <f aca="false">IF(C453&lt;&gt;"",C453*D453,"")</f>
        <v/>
      </c>
    </row>
    <row r="454" customFormat="false" ht="15" hidden="false" customHeight="false" outlineLevel="0" collapsed="false">
      <c r="E454" s="0" t="str">
        <f aca="false">IF(C454&lt;&gt;"",C454*D454,"")</f>
        <v/>
      </c>
    </row>
    <row r="455" customFormat="false" ht="15" hidden="false" customHeight="false" outlineLevel="0" collapsed="false">
      <c r="E455" s="0" t="str">
        <f aca="false">IF(C455&lt;&gt;"",C455*D455,"")</f>
        <v/>
      </c>
    </row>
    <row r="456" customFormat="false" ht="15" hidden="false" customHeight="false" outlineLevel="0" collapsed="false">
      <c r="E456" s="0" t="str">
        <f aca="false">IF(C456&lt;&gt;"",C456*D456,"")</f>
        <v/>
      </c>
    </row>
    <row r="457" customFormat="false" ht="15" hidden="false" customHeight="false" outlineLevel="0" collapsed="false">
      <c r="E457" s="0" t="str">
        <f aca="false">IF(C457&lt;&gt;"",C457*D457,"")</f>
        <v/>
      </c>
    </row>
    <row r="458" customFormat="false" ht="15" hidden="false" customHeight="false" outlineLevel="0" collapsed="false">
      <c r="E458" s="0" t="str">
        <f aca="false">IF(C458&lt;&gt;"",C458*D458,"")</f>
        <v/>
      </c>
    </row>
    <row r="459" customFormat="false" ht="15" hidden="false" customHeight="false" outlineLevel="0" collapsed="false">
      <c r="E459" s="0" t="str">
        <f aca="false">IF(C459&lt;&gt;"",C459*D459,"")</f>
        <v/>
      </c>
    </row>
    <row r="460" customFormat="false" ht="15" hidden="false" customHeight="false" outlineLevel="0" collapsed="false">
      <c r="E460" s="0" t="str">
        <f aca="false">IF(C460&lt;&gt;"",C460*D460,"")</f>
        <v/>
      </c>
    </row>
    <row r="461" customFormat="false" ht="15" hidden="false" customHeight="false" outlineLevel="0" collapsed="false">
      <c r="E461" s="0" t="str">
        <f aca="false">IF(C461&lt;&gt;"",C461*D461,"")</f>
        <v/>
      </c>
    </row>
    <row r="462" customFormat="false" ht="15" hidden="false" customHeight="false" outlineLevel="0" collapsed="false">
      <c r="E462" s="0" t="str">
        <f aca="false">IF(C462&lt;&gt;"",C462*D462,"")</f>
        <v/>
      </c>
    </row>
    <row r="463" customFormat="false" ht="15" hidden="false" customHeight="false" outlineLevel="0" collapsed="false">
      <c r="E463" s="0" t="str">
        <f aca="false">IF(C463&lt;&gt;"",C463*D463,"")</f>
        <v/>
      </c>
    </row>
    <row r="464" customFormat="false" ht="15" hidden="false" customHeight="false" outlineLevel="0" collapsed="false">
      <c r="E464" s="0" t="str">
        <f aca="false">IF(C464&lt;&gt;"",C464*D464,"")</f>
        <v/>
      </c>
    </row>
    <row r="465" customFormat="false" ht="15" hidden="false" customHeight="false" outlineLevel="0" collapsed="false">
      <c r="E465" s="0" t="str">
        <f aca="false">IF(C465&lt;&gt;"",C465*D465,"")</f>
        <v/>
      </c>
    </row>
    <row r="466" customFormat="false" ht="15" hidden="false" customHeight="false" outlineLevel="0" collapsed="false">
      <c r="E466" s="0" t="str">
        <f aca="false">IF(C466&lt;&gt;"",C466*D466,"")</f>
        <v/>
      </c>
    </row>
    <row r="467" customFormat="false" ht="15" hidden="false" customHeight="false" outlineLevel="0" collapsed="false">
      <c r="E467" s="0" t="str">
        <f aca="false">IF(C467&lt;&gt;"",C467*D467,"")</f>
        <v/>
      </c>
    </row>
    <row r="468" customFormat="false" ht="15" hidden="false" customHeight="false" outlineLevel="0" collapsed="false">
      <c r="E468" s="0" t="str">
        <f aca="false">IF(C468&lt;&gt;"",C468*D468,"")</f>
        <v/>
      </c>
    </row>
    <row r="469" customFormat="false" ht="15" hidden="false" customHeight="false" outlineLevel="0" collapsed="false">
      <c r="E469" s="0" t="str">
        <f aca="false">IF(C469&lt;&gt;"",C469*D469,"")</f>
        <v/>
      </c>
    </row>
    <row r="470" customFormat="false" ht="15" hidden="false" customHeight="false" outlineLevel="0" collapsed="false">
      <c r="E470" s="0" t="str">
        <f aca="false">IF(C470&lt;&gt;"",C470*D470,"")</f>
        <v/>
      </c>
    </row>
    <row r="471" customFormat="false" ht="15" hidden="false" customHeight="false" outlineLevel="0" collapsed="false">
      <c r="E471" s="0" t="str">
        <f aca="false">IF(C471&lt;&gt;"",C471*D471,"")</f>
        <v/>
      </c>
    </row>
    <row r="472" customFormat="false" ht="15" hidden="false" customHeight="false" outlineLevel="0" collapsed="false">
      <c r="E472" s="0" t="str">
        <f aca="false">IF(C472&lt;&gt;"",C472*D472,"")</f>
        <v/>
      </c>
    </row>
    <row r="473" customFormat="false" ht="15" hidden="false" customHeight="false" outlineLevel="0" collapsed="false">
      <c r="E473" s="0" t="str">
        <f aca="false">IF(C473&lt;&gt;"",C473*D473,"")</f>
        <v/>
      </c>
    </row>
    <row r="474" customFormat="false" ht="15" hidden="false" customHeight="false" outlineLevel="0" collapsed="false">
      <c r="E474" s="0" t="str">
        <f aca="false">IF(C474&lt;&gt;"",C474*D474,"")</f>
        <v/>
      </c>
    </row>
    <row r="475" customFormat="false" ht="15" hidden="false" customHeight="false" outlineLevel="0" collapsed="false">
      <c r="E475" s="0" t="str">
        <f aca="false">IF(C475&lt;&gt;"",C475*D475,"")</f>
        <v/>
      </c>
    </row>
    <row r="476" customFormat="false" ht="15" hidden="false" customHeight="false" outlineLevel="0" collapsed="false">
      <c r="E476" s="0" t="str">
        <f aca="false">IF(C476&lt;&gt;"",C476*D476,"")</f>
        <v/>
      </c>
    </row>
    <row r="477" customFormat="false" ht="15" hidden="false" customHeight="false" outlineLevel="0" collapsed="false">
      <c r="E477" s="0" t="str">
        <f aca="false">IF(C477&lt;&gt;"",C477*D477,"")</f>
        <v/>
      </c>
    </row>
    <row r="478" customFormat="false" ht="15" hidden="false" customHeight="false" outlineLevel="0" collapsed="false">
      <c r="E478" s="0" t="str">
        <f aca="false">IF(C478&lt;&gt;"",C478*D478,"")</f>
        <v/>
      </c>
    </row>
    <row r="479" customFormat="false" ht="15" hidden="false" customHeight="false" outlineLevel="0" collapsed="false">
      <c r="E479" s="0" t="str">
        <f aca="false">IF(C479&lt;&gt;"",C479*D479,"")</f>
        <v/>
      </c>
    </row>
    <row r="480" customFormat="false" ht="15" hidden="false" customHeight="false" outlineLevel="0" collapsed="false">
      <c r="E480" s="0" t="str">
        <f aca="false">IF(C480&lt;&gt;"",C480*D480,"")</f>
        <v/>
      </c>
    </row>
    <row r="481" customFormat="false" ht="15" hidden="false" customHeight="false" outlineLevel="0" collapsed="false">
      <c r="E481" s="0" t="str">
        <f aca="false">IF(C481&lt;&gt;"",C481*D481,"")</f>
        <v/>
      </c>
    </row>
    <row r="482" customFormat="false" ht="15" hidden="false" customHeight="false" outlineLevel="0" collapsed="false">
      <c r="E482" s="0" t="str">
        <f aca="false">IF(C482&lt;&gt;"",C482*D482,"")</f>
        <v/>
      </c>
    </row>
    <row r="483" customFormat="false" ht="15" hidden="false" customHeight="false" outlineLevel="0" collapsed="false">
      <c r="E483" s="0" t="str">
        <f aca="false">IF(C483&lt;&gt;"",C483*D483,"")</f>
        <v/>
      </c>
    </row>
    <row r="484" customFormat="false" ht="15" hidden="false" customHeight="false" outlineLevel="0" collapsed="false">
      <c r="E484" s="0" t="str">
        <f aca="false">IF(C484&lt;&gt;"",C484*D484,"")</f>
        <v/>
      </c>
    </row>
    <row r="485" customFormat="false" ht="15" hidden="false" customHeight="false" outlineLevel="0" collapsed="false">
      <c r="E485" s="0" t="str">
        <f aca="false">IF(C485&lt;&gt;"",C485*D485,"")</f>
        <v/>
      </c>
    </row>
    <row r="486" customFormat="false" ht="15" hidden="false" customHeight="false" outlineLevel="0" collapsed="false">
      <c r="E486" s="0" t="str">
        <f aca="false">IF(C486&lt;&gt;"",C486*D486,"")</f>
        <v/>
      </c>
    </row>
    <row r="487" customFormat="false" ht="15" hidden="false" customHeight="false" outlineLevel="0" collapsed="false">
      <c r="E487" s="0" t="str">
        <f aca="false">IF(C487&lt;&gt;"",C487*D487,"")</f>
        <v/>
      </c>
    </row>
    <row r="488" customFormat="false" ht="15" hidden="false" customHeight="false" outlineLevel="0" collapsed="false">
      <c r="E488" s="0" t="str">
        <f aca="false">IF(C488&lt;&gt;"",C488*D488,"")</f>
        <v/>
      </c>
    </row>
    <row r="489" customFormat="false" ht="15" hidden="false" customHeight="false" outlineLevel="0" collapsed="false">
      <c r="E489" s="0" t="str">
        <f aca="false">IF(C489&lt;&gt;"",C489*D489,"")</f>
        <v/>
      </c>
    </row>
    <row r="490" customFormat="false" ht="15" hidden="false" customHeight="false" outlineLevel="0" collapsed="false">
      <c r="E490" s="0" t="str">
        <f aca="false">IF(C490&lt;&gt;"",C490*D490,"")</f>
        <v/>
      </c>
    </row>
    <row r="491" customFormat="false" ht="15" hidden="false" customHeight="false" outlineLevel="0" collapsed="false">
      <c r="E491" s="0" t="str">
        <f aca="false">IF(C491&lt;&gt;"",C491*D491,"")</f>
        <v/>
      </c>
    </row>
    <row r="492" customFormat="false" ht="15" hidden="false" customHeight="false" outlineLevel="0" collapsed="false">
      <c r="E492" s="0" t="str">
        <f aca="false">IF(C492&lt;&gt;"",C492*D492,"")</f>
        <v/>
      </c>
    </row>
    <row r="493" customFormat="false" ht="15" hidden="false" customHeight="false" outlineLevel="0" collapsed="false">
      <c r="E493" s="0" t="str">
        <f aca="false">IF(C493&lt;&gt;"",C493*D493,"")</f>
        <v/>
      </c>
    </row>
    <row r="494" customFormat="false" ht="15" hidden="false" customHeight="false" outlineLevel="0" collapsed="false">
      <c r="E494" s="0" t="str">
        <f aca="false">IF(C494&lt;&gt;"",C494*D494,"")</f>
        <v/>
      </c>
    </row>
    <row r="495" customFormat="false" ht="15" hidden="false" customHeight="false" outlineLevel="0" collapsed="false">
      <c r="E495" s="0" t="str">
        <f aca="false">IF(C495&lt;&gt;"",C495*D495,"")</f>
        <v/>
      </c>
    </row>
    <row r="496" customFormat="false" ht="15" hidden="false" customHeight="false" outlineLevel="0" collapsed="false">
      <c r="E496" s="0" t="str">
        <f aca="false">IF(C496&lt;&gt;"",C496*D496,"")</f>
        <v/>
      </c>
    </row>
    <row r="497" customFormat="false" ht="15" hidden="false" customHeight="false" outlineLevel="0" collapsed="false">
      <c r="E497" s="0" t="str">
        <f aca="false">IF(C497&lt;&gt;"",C497*D497,"")</f>
        <v/>
      </c>
    </row>
    <row r="498" customFormat="false" ht="15" hidden="false" customHeight="false" outlineLevel="0" collapsed="false">
      <c r="E498" s="0" t="str">
        <f aca="false">IF(C498&lt;&gt;"",C498*D498,"")</f>
        <v/>
      </c>
    </row>
    <row r="499" customFormat="false" ht="15" hidden="false" customHeight="false" outlineLevel="0" collapsed="false">
      <c r="E499" s="0" t="str">
        <f aca="false">IF(C499&lt;&gt;"",C499*D499,"")</f>
        <v/>
      </c>
    </row>
    <row r="500" customFormat="false" ht="15" hidden="false" customHeight="false" outlineLevel="0" collapsed="false">
      <c r="E500" s="0" t="str">
        <f aca="false">IF(C500&lt;&gt;"",C500*D500,"")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5" t="s">
        <v>147</v>
      </c>
    </row>
    <row r="3" customFormat="false" ht="15" hidden="false" customHeight="false" outlineLevel="0" collapsed="false">
      <c r="A3" s="16" t="s">
        <v>148</v>
      </c>
    </row>
    <row r="4" customFormat="false" ht="15" hidden="false" customHeight="false" outlineLevel="0" collapsed="false">
      <c r="A4" s="0" t="s">
        <v>149</v>
      </c>
    </row>
    <row r="6" customFormat="false" ht="15" hidden="false" customHeight="false" outlineLevel="0" collapsed="false">
      <c r="A6" s="16" t="s">
        <v>150</v>
      </c>
    </row>
    <row r="7" customFormat="false" ht="15" hidden="false" customHeight="false" outlineLevel="0" collapsed="false">
      <c r="A7" s="0" t="s">
        <v>151</v>
      </c>
    </row>
    <row r="8" customFormat="false" ht="15" hidden="false" customHeight="false" outlineLevel="0" collapsed="false">
      <c r="A8" s="0" t="s">
        <v>152</v>
      </c>
    </row>
    <row r="10" customFormat="false" ht="15" hidden="false" customHeight="false" outlineLevel="0" collapsed="false">
      <c r="A10" s="16" t="s">
        <v>153</v>
      </c>
    </row>
    <row r="11" customFormat="false" ht="15" hidden="false" customHeight="false" outlineLevel="0" collapsed="false">
      <c r="A11" s="0" t="s">
        <v>154</v>
      </c>
    </row>
    <row r="12" customFormat="false" ht="15" hidden="false" customHeight="false" outlineLevel="0" collapsed="false">
      <c r="A12" s="0" t="s">
        <v>155</v>
      </c>
    </row>
    <row r="14" customFormat="false" ht="15" hidden="false" customHeight="false" outlineLevel="0" collapsed="false">
      <c r="A14" s="16" t="s">
        <v>156</v>
      </c>
    </row>
    <row r="15" customFormat="false" ht="15" hidden="false" customHeight="false" outlineLevel="0" collapsed="false">
      <c r="A15" s="0" t="s">
        <v>157</v>
      </c>
    </row>
    <row r="17" customFormat="false" ht="15" hidden="false" customHeight="false" outlineLevel="0" collapsed="false">
      <c r="A17" s="16" t="s">
        <v>158</v>
      </c>
    </row>
    <row r="18" customFormat="false" ht="15" hidden="false" customHeight="false" outlineLevel="0" collapsed="false">
      <c r="A18" s="0" t="s">
        <v>159</v>
      </c>
    </row>
    <row r="20" customFormat="false" ht="15" hidden="false" customHeight="false" outlineLevel="0" collapsed="false">
      <c r="A20" s="16" t="s">
        <v>160</v>
      </c>
    </row>
    <row r="21" customFormat="false" ht="15" hidden="false" customHeight="false" outlineLevel="0" collapsed="false">
      <c r="A21" s="0" t="s">
        <v>161</v>
      </c>
    </row>
    <row r="23" customFormat="false" ht="15" hidden="false" customHeight="false" outlineLevel="0" collapsed="false">
      <c r="A23" s="16" t="s">
        <v>162</v>
      </c>
    </row>
    <row r="24" customFormat="false" ht="15" hidden="false" customHeight="false" outlineLevel="0" collapsed="false">
      <c r="A24" s="0" t="s">
        <v>163</v>
      </c>
    </row>
    <row r="26" customFormat="false" ht="15" hidden="false" customHeight="false" outlineLevel="0" collapsed="false">
      <c r="A26" s="16" t="s">
        <v>164</v>
      </c>
    </row>
    <row r="27" customFormat="false" ht="15" hidden="false" customHeight="false" outlineLevel="0" collapsed="false">
      <c r="A27" s="0" t="s">
        <v>165</v>
      </c>
    </row>
    <row r="28" customFormat="false" ht="15" hidden="false" customHeight="false" outlineLevel="0" collapsed="false">
      <c r="A28" s="0" t="s">
        <v>166</v>
      </c>
    </row>
    <row r="29" customFormat="false" ht="15" hidden="false" customHeight="false" outlineLevel="0" collapsed="false">
      <c r="A29" s="0" t="s">
        <v>167</v>
      </c>
    </row>
    <row r="30" customFormat="false" ht="15" hidden="false" customHeight="false" outlineLevel="0" collapsed="false">
      <c r="A30" s="0" t="s">
        <v>168</v>
      </c>
    </row>
    <row r="31" customFormat="false" ht="15" hidden="false" customHeight="false" outlineLevel="0" collapsed="false">
      <c r="A31" s="0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2026-04-02T20:54:36Z</dcterms:created>
  <dc:creator>openpyxl</dc:creator>
  <dc:description/>
  <dc:language>en-US</dc:language>
  <cp:lastModifiedBy/>
  <dcterms:modified xsi:type="dcterms:W3CDTF">2026-04-02T21:02:29Z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